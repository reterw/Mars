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tables/table9.xml" ContentType="application/vnd.openxmlformats-officedocument.spreadsheetml.table+xml"/>
  <Override PartName="/xl/worksheets/sheet17.xml" ContentType="application/vnd.openxmlformats-officedocument.spreadsheetml.worksheet+xml"/>
  <Override PartName="/xl/tables/table10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ce2f732c04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0b46fc1bb494187"/>
    <x:sheet xmlns:r="http://schemas.openxmlformats.org/officeDocument/2006/relationships" name="资源表" sheetId="2" r:id="R2e092333fc544a01"/>
    <x:sheet xmlns:r="http://schemas.openxmlformats.org/officeDocument/2006/relationships" name="原料与矿料假设" sheetId="3" r:id="Rc2314912e85c4fe4"/>
    <x:sheet xmlns:r="http://schemas.openxmlformats.org/officeDocument/2006/relationships" name="终端规格" sheetId="4" r:id="R8ca903cff1be4155"/>
    <x:sheet xmlns:r="http://schemas.openxmlformats.org/officeDocument/2006/relationships" name="直接配方" sheetId="5" r:id="R4f4c026fc4724004"/>
    <x:sheet xmlns:r="http://schemas.openxmlformats.org/officeDocument/2006/relationships" name="直接副产出" sheetId="6" r:id="R4998702f4e3a495e"/>
    <x:sheet xmlns:r="http://schemas.openxmlformats.org/officeDocument/2006/relationships" name="主料系数展开" sheetId="7" r:id="R696cb48381c94f4e"/>
    <x:sheet xmlns:r="http://schemas.openxmlformats.org/officeDocument/2006/relationships" name="副产系数展开" sheetId="8" r:id="R8cd4d4f16e704420"/>
    <x:sheet xmlns:r="http://schemas.openxmlformats.org/officeDocument/2006/relationships" name="主原料_毛投入" sheetId="9" r:id="Rf34143a4a8c74a0e"/>
    <x:sheet xmlns:r="http://schemas.openxmlformats.org/officeDocument/2006/relationships" name="主原料_理想回水" sheetId="10" r:id="R06dc6761b7b04b90"/>
    <x:sheet xmlns:r="http://schemas.openxmlformats.org/officeDocument/2006/relationships" name="矿料_情景" sheetId="11" r:id="Rc6e4d8f781ee4514"/>
    <x:sheet xmlns:r="http://schemas.openxmlformats.org/officeDocument/2006/relationships" name="外部输入矩阵" sheetId="12" r:id="R05b1cad2d1614eb9"/>
    <x:sheet xmlns:r="http://schemas.openxmlformats.org/officeDocument/2006/relationships" name="副产品矩阵" sheetId="13" r:id="R8dc3fcb1e4894618"/>
    <x:sheet xmlns:r="http://schemas.openxmlformats.org/officeDocument/2006/relationships" name="作物假设记录" sheetId="14" r:id="R980f5b6d423944e5"/>
    <x:sheet xmlns:r="http://schemas.openxmlformats.org/officeDocument/2006/relationships" name="运行服务" sheetId="15" r:id="R9d1bb989f0ea47fe"/>
    <x:sheet xmlns:r="http://schemas.openxmlformats.org/officeDocument/2006/relationships" name="未闭合项" sheetId="16" r:id="Recca114722814047"/>
    <x:sheet xmlns:r="http://schemas.openxmlformats.org/officeDocument/2006/relationships" name="数据来源" sheetId="17" r:id="R960ca4922d02490f"/>
    <x:sheet xmlns:r="http://schemas.openxmlformats.org/officeDocument/2006/relationships" name="需求试算" sheetId="18" r:id="Rb9769c139c9647a6"/>
    <x:sheet xmlns:r="http://schemas.openxmlformats.org/officeDocument/2006/relationships" name="质量检查" sheetId="19" r:id="R035723c86f7149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%"/>
    <x:numFmt numFmtId="201" formatCode="0.000000"/>
    <x:numFmt numFmtId="202" formatCode="0.000000;-0.000000;–"/>
    <x:numFmt numFmtId="203" formatCode="0.0000;-0.0000;–"/>
    <x:numFmt numFmtId="204" formatCode="0.00000;-0.00000;–"/>
    <x:numFmt numFmtId="205" formatCode="0.000"/>
    <x:numFmt numFmtId="206" formatCode="0.0000"/>
    <x:numFmt numFmtId="207" formatCode="0.000000000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536575"/>
      <x:name val="Carlito"/>
    </x:font>
    <x:font>
      <x:b/>
      <x:sz val="10"/>
      <x:color rgb="FFFFFFFF"/>
      <x:name val="Carlito"/>
    </x:font>
    <x:font>
      <x:sz val="10"/>
      <x:color rgb="FF223444"/>
      <x:name val="Carlito"/>
    </x:font>
    <x:font>
      <x:sz val="10"/>
      <x:color rgb="FF1D4E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2E6374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4" fillId="0" borderId="1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3" fontId="4" fillId="0" borderId="1" xfId="0" applyNumberFormat="1" applyFont="1" applyFill="1" applyBorder="1" applyAlignment="1">
      <x:alignment vertical="center" wrapText="1"/>
    </x:xf>
    <x:xf numFmtId="204" fontId="4" fillId="0" borderId="0" xfId="0" applyNumberFormat="1" applyFont="1" applyFill="1" applyBorder="1" applyAlignment="1">
      <x:alignment vertical="center" wrapText="1"/>
    </x:xf>
    <x:xf numFmtId="204" fontId="4" fillId="0" borderId="1" xfId="0" applyNumberFormat="1" applyFont="1" applyFill="1" applyBorder="1" applyAlignment="1">
      <x:alignment vertical="center" wrapText="1"/>
    </x:xf>
    <x:xf numFmtId="205" fontId="5" fillId="0" borderId="0" xfId="0" applyNumberFormat="1" applyFont="1" applyFill="1" applyBorder="1" applyAlignment="1">
      <x:alignment vertical="center" wrapText="1"/>
    </x:xf>
    <x:xf numFmtId="205" fontId="5" fillId="0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4" fillId="0" borderId="0" xfId="0" applyNumberFormat="1" applyFont="1" applyFill="1" applyBorder="1" applyAlignment="1">
      <x:alignment vertical="center" wrapText="1"/>
    </x:xf>
    <x:xf numFmtId="207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602ac7a0b14984" /><Relationship Type="http://schemas.openxmlformats.org/officeDocument/2006/relationships/theme" Target="/xl/theme/theme1.xml" Id="R1810c9e0f46043ad" /><Relationship Type="http://schemas.openxmlformats.org/officeDocument/2006/relationships/sharedStrings" Target="/xl/sharedStrings.xml" Id="R88c1c3608b2a401c" /><Relationship Type="http://schemas.openxmlformats.org/officeDocument/2006/relationships/worksheet" Target="/xl/worksheets/sheet1.xml" Id="Rd0b46fc1bb494187" /><Relationship Type="http://schemas.openxmlformats.org/officeDocument/2006/relationships/worksheet" Target="/xl/worksheets/sheet2.xml" Id="R2e092333fc544a01" /><Relationship Type="http://schemas.openxmlformats.org/officeDocument/2006/relationships/worksheet" Target="/xl/worksheets/sheet3.xml" Id="Rc2314912e85c4fe4" /><Relationship Type="http://schemas.openxmlformats.org/officeDocument/2006/relationships/worksheet" Target="/xl/worksheets/sheet4.xml" Id="R8ca903cff1be4155" /><Relationship Type="http://schemas.openxmlformats.org/officeDocument/2006/relationships/worksheet" Target="/xl/worksheets/sheet5.xml" Id="R4f4c026fc4724004" /><Relationship Type="http://schemas.openxmlformats.org/officeDocument/2006/relationships/worksheet" Target="/xl/worksheets/sheet6.xml" Id="R4998702f4e3a495e" /><Relationship Type="http://schemas.openxmlformats.org/officeDocument/2006/relationships/worksheet" Target="/xl/worksheets/sheet7.xml" Id="R696cb48381c94f4e" /><Relationship Type="http://schemas.openxmlformats.org/officeDocument/2006/relationships/worksheet" Target="/xl/worksheets/sheet8.xml" Id="R8cd4d4f16e704420" /><Relationship Type="http://schemas.openxmlformats.org/officeDocument/2006/relationships/worksheet" Target="/xl/worksheets/sheet9.xml" Id="Rf34143a4a8c74a0e" /><Relationship Type="http://schemas.openxmlformats.org/officeDocument/2006/relationships/worksheet" Target="/xl/worksheets/sheet10.xml" Id="R06dc6761b7b04b90" /><Relationship Type="http://schemas.openxmlformats.org/officeDocument/2006/relationships/worksheet" Target="/xl/worksheets/sheet11.xml" Id="Rc6e4d8f781ee4514" /><Relationship Type="http://schemas.openxmlformats.org/officeDocument/2006/relationships/worksheet" Target="/xl/worksheets/sheet12.xml" Id="R05b1cad2d1614eb9" /><Relationship Type="http://schemas.openxmlformats.org/officeDocument/2006/relationships/worksheet" Target="/xl/worksheets/sheet13.xml" Id="R8dc3fcb1e4894618" /><Relationship Type="http://schemas.openxmlformats.org/officeDocument/2006/relationships/worksheet" Target="/xl/worksheets/sheet14.xml" Id="R980f5b6d423944e5" /><Relationship Type="http://schemas.openxmlformats.org/officeDocument/2006/relationships/worksheet" Target="/xl/worksheets/sheet15.xml" Id="R9d1bb989f0ea47fe" /><Relationship Type="http://schemas.openxmlformats.org/officeDocument/2006/relationships/worksheet" Target="/xl/worksheets/sheet16.xml" Id="Recca114722814047" /><Relationship Type="http://schemas.openxmlformats.org/officeDocument/2006/relationships/worksheet" Target="/xl/worksheets/sheet17.xml" Id="R960ca4922d02490f" /><Relationship Type="http://schemas.openxmlformats.org/officeDocument/2006/relationships/worksheet" Target="/xl/worksheets/sheet18.xml" Id="Rb9769c139c9647a6" /><Relationship Type="http://schemas.openxmlformats.org/officeDocument/2006/relationships/worksheet" Target="/xl/worksheets/sheet19.xml" Id="R035723c86f714973" /></Relationships>
</file>

<file path=xl/tables/table1.xml><?xml version="1.0" encoding="utf-8"?>
<x:table xmlns:x="http://schemas.openxmlformats.org/spreadsheetml/2006/main" id="1" name="T1" displayName="T1" ref="A5:D23" headerRowCount="1" totalsRowCount="0" totalsRowShown="0">
  <x:tableColumns count="4">
    <x:tableColumn id="1" name="项目"/>
    <x:tableColumn id="2" name="内容"/>
    <x:tableColumn id="3" name="关联"/>
    <x:tableColumn id="4" name="注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5:K72" headerRowCount="1" totalsRowCount="0" totalsRowShown="0">
  <x:tableColumns count="11">
    <x:tableColumn id="1" name="ID"/>
    <x:tableColumn id="2" name="类别"/>
    <x:tableColumn id="3" name="资源/指标"/>
    <x:tableColumn id="4" name="物质/当量"/>
    <x:tableColumn id="5" name="证据状态"/>
    <x:tableColumn id="6" name="丰度及测量基准"/>
    <x:tableColumn id="7" name="库存/体积估计"/>
    <x:tableColumn id="8" name="可采储量"/>
    <x:tableColumn id="9" name="可能用途"/>
    <x:tableColumn id="10" name="限定条件"/>
    <x:tableColumn id="11" name="来源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5:H26" headerRowCount="1" totalsRowCount="0" totalsRowShown="0">
  <x:tableColumns count="8">
    <x:tableColumn id="1" name="ID"/>
    <x:tableColumn id="2" name="有效原料定义"/>
    <x:tableColumn id="3" name="计量单位"/>
    <x:tableColumn id="4" name="化学当量"/>
    <x:tableColumn id="5" name="品位g（H）"/>
    <x:tableColumn id="6" name="采收率η（H）"/>
    <x:tableColumn id="7" name="证据/门槛"/>
    <x:tableColumn id="8" name="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5:J46" headerRowCount="1" totalsRowCount="0" totalsRowShown="0">
  <x:tableColumns count="10">
    <x:tableColumn id="1" name="ID"/>
    <x:tableColumn id="2" name="森林"/>
    <x:tableColumn id="3" name="终端产品"/>
    <x:tableColumn id="4" name="一单位"/>
    <x:tableColumn id="5" name="计量等级"/>
    <x:tableColumn id="6" name="规格/情景定义"/>
    <x:tableColumn id="7" name="外部投入"/>
    <x:tableColumn id="8" name="U矿依赖"/>
    <x:tableColumn id="9" name="说明"/>
    <x:tableColumn id="10" name="依据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" displayName="T5" ref="A5:J215" headerRowCount="1" totalsRowCount="0" totalsRowShown="0">
  <x:tableColumns count="10">
    <x:tableColumn id="1" name="主产品ID"/>
    <x:tableColumn id="2" name="主产品"/>
    <x:tableColumn id="3" name="投入ID"/>
    <x:tableColumn id="4" name="基础投入量"/>
    <x:tableColumn id="5" name="主产出基准"/>
    <x:tableColumn id="6" name="单位投入系数"/>
    <x:tableColumn id="7" name="投入单位"/>
    <x:tableColumn id="8" name="等级"/>
    <x:tableColumn id="9" name="路线/限定"/>
    <x:tableColumn id="10" name="来源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" displayName="T6" ref="A5:F28" headerRowCount="1" totalsRowCount="0" totalsRowShown="0">
  <x:tableColumns count="6">
    <x:tableColumn id="1" name="工艺主产品ID"/>
    <x:tableColumn id="2" name="工艺主产品"/>
    <x:tableColumn id="3" name="副产品"/>
    <x:tableColumn id="4" name="单位生成量"/>
    <x:tableColumn id="5" name="单位"/>
    <x:tableColumn id="6" name="等级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4" displayName="T14" ref="A5:N9" headerRowCount="1" totalsRowCount="0" totalsRowShown="0">
  <x:tableColumns count="14">
    <x:tableColumn id="1" name="ID"/>
    <x:tableColumn id="2" name="作物"/>
    <x:tableColumn id="3" name="收获指数H"/>
    <x:tableColumn id="4" name="C质量分数H"/>
    <x:tableColumn id="5" name="H质量分数H"/>
    <x:tableColumn id="6" name="N目标H"/>
    <x:tableColumn id="7" name="P目标H"/>
    <x:tableColumn id="8" name="K目标H"/>
    <x:tableColumn id="9" name="Ca目标H"/>
    <x:tableColumn id="10" name="Mg目标H"/>
    <x:tableColumn id="11" name="周期/日H"/>
    <x:tableColumn id="12" name="蒸腾水kgH"/>
    <x:tableColumn id="13" name="冷凝回收率H"/>
    <x:tableColumn id="14" name="备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5" displayName="T15" ref="A5:F12" headerRowCount="1" totalsRowCount="0" totalsRowShown="0">
  <x:tableColumns count="6">
    <x:tableColumn id="1" name="ID"/>
    <x:tableColumn id="2" name="服务"/>
    <x:tableColumn id="3" name="一单位产出"/>
    <x:tableColumn id="4" name="运行投入关系"/>
    <x:tableColumn id="5" name="必要资本"/>
    <x:tableColumn id="6" name="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6" displayName="T16" ref="A5:C19" headerRowCount="1" totalsRowCount="0" totalsRowShown="0">
  <x:tableColumns count="3">
    <x:tableColumn id="1" name="涉及对象"/>
    <x:tableColumn id="2" name="缺口"/>
    <x:tableColumn id="3" name="模型要求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7" displayName="T17" ref="A5:D39" headerRowCount="1" totalsRowCount="0" totalsRowShown="0">
  <x:tableColumns count="4">
    <x:tableColumn id="1" name="ID"/>
    <x:tableColumn id="2" name="来源"/>
    <x:tableColumn id="3" name="URL"/>
    <x:tableColumn id="4" name="支持范围与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9" displayName="T19" ref="A5:E11" headerRowCount="1" totalsRowCount="0" totalsRowShown="0">
  <x:tableColumns count="5">
    <x:tableColumn id="1" name="检查"/>
    <x:tableColumn id="2" name="左侧总质量/kg每mol反应"/>
    <x:tableColumn id="3" name="右侧总质量/kg每mol反应"/>
    <x:tableColumn id="4" name="绝对误差"/>
    <x:tableColumn id="5" name="通过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e625ced4514c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841c20672341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51a7b6e3c8848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e8a106e41f94b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ebaf005d2ea4b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35fa42c1e0f4f5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7.xml" Id="R60ad4c0894074d3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8.xml" Id="Rd6467d993e464e71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9.xml" Id="Ref6dd1a74b7a4be6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0.xml" Id="Rb198c17d4771405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1.xml" Id="R587d64b421144093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9" hidden="0" customWidth="1"/>
    <x:col min="3" max="3" width="19" hidden="0" customWidth="1"/>
    <x:col min="4" max="4" width="55" hidden="0" customWidth="1"/>
  </x:cols>
  <x:sheetData>
    <x:row r="1" ht="34" customHeight="1">
      <x:c r="A1" s="4" t="str">
        <x:v>说明</x:v>
      </x:c>
      <x:c r="B1" s="4"/>
      <x:c r="C1" s="4"/>
      <x:c r="D1" s="4"/>
    </x:row>
    <x:row r="2" ht="20" customHeight="1">
      <x:c r="A2" s="9" t="str">
        <x:v>先阅读口径，再使用矩阵；蓝色输入可以修改。文献依据与模型设计假设分离。</x:v>
      </x:c>
      <x:c r="B2" s="9"/>
      <x:c r="C2" s="9"/>
      <x:c r="D2" s="9"/>
    </x:row>
    <x:row r="3" ht="20" customHeight="1">
      <x:c r="A3" s="9"/>
      <x:c r="B3" s="9"/>
      <x:c r="C3" s="9"/>
      <x:c r="D3" s="9"/>
    </x:row>
    <x:row r="5" ht="38" customHeight="1">
      <x:c r="A5" s="15" t="str">
        <x:v>项目</x:v>
      </x:c>
      <x:c r="B5" s="15" t="str">
        <x:v>内容</x:v>
      </x:c>
      <x:c r="C5" s="15" t="str">
        <x:v>关联</x:v>
      </x:c>
      <x:c r="D5" s="15" t="str">
        <x:v>注意</x:v>
      </x:c>
    </x:row>
    <x:row r="6" ht="40" customHeight="1">
      <x:c r="A6" s="22" t="str">
        <x:v>版本</x:v>
      </x:c>
      <x:c r="B6" s="22" t="str">
        <x:v>v0.1 / 2026-10-03</x:v>
      </x:c>
      <x:c r="C6" s="22" t="str">
        <x:v>用途</x:v>
      </x:c>
      <x:c r="D6" s="22" t="str">
        <x:v>概念级生产仿真，不是完整工程设计</x:v>
      </x:c>
    </x:row>
    <x:row r="7" ht="40" customHeight="1">
      <x:c r="A7" s="22" t="str">
        <x:v>资源记录</x:v>
      </x:c>
      <x:c r="B7" s="22" t="n">
        <x:v>67</x:v>
      </x:c>
      <x:c r="C7" s="22" t="str">
        <x:v>独立库存？</x:v>
      </x:c>
      <x:c r="D7" s="22" t="str">
        <x:v>否：含同一岩土的元素/矿物视角，不能重复相加</x:v>
      </x:c>
    </x:row>
    <x:row r="8" ht="40" customHeight="1">
      <x:c r="A8" s="22" t="str">
        <x:v>主原料</x:v>
      </x:c>
      <x:c r="B8" s="22" t="n">
        <x:v>21</x:v>
      </x:c>
      <x:c r="C8" s="22" t="str">
        <x:v>终端产品</x:v>
      </x:c>
      <x:c r="D8" s="22" t="n">
        <x:v>41</x:v>
      </x:c>
    </x:row>
    <x:row r="9" ht="40" customHeight="1">
      <x:c r="A9" s="22" t="str">
        <x:v>选定配方</x:v>
      </x:c>
      <x:c r="B9" s="22" t="n">
        <x:v>69</x:v>
      </x:c>
      <x:c r="C9" s="22" t="str">
        <x:v>外部未闭合输入</x:v>
      </x:c>
      <x:c r="D9" s="22" t="n">
        <x:v>5</x:v>
      </x:c>
    </x:row>
    <x:row r="10" ht="40" customHeight="1">
      <x:c r="A10" s="22" t="str">
        <x:v>T</x:v>
      </x:c>
      <x:c r="B10" s="22" t="str">
        <x:v>纯组分、指定反应下的计量值</x:v>
      </x:c>
      <x:c r="C10" s="22" t="str">
        <x:v>H</x:v>
      </x:c>
      <x:c r="D10" s="22" t="str">
        <x:v>设计假设或占位BOM；不是文献实测</x:v>
      </x:c>
    </x:row>
    <x:row r="11" ht="40" customHeight="1">
      <x:c r="A11" s="22" t="str">
        <x:v>U</x:v>
      </x:c>
      <x:c r="B11" s="22" t="str">
        <x:v>矿床/可用性未证实</x:v>
      </x:c>
      <x:c r="C11" s="22" t="str">
        <x:v>未知储量</x:v>
      </x:c>
      <x:c r="D11" s="22" t="str">
        <x:v>用null/未勘探，不填0或无穷</x:v>
      </x:c>
    </x:row>
    <x:row r="12" ht="40" customHeight="1">
      <x:c r="A12" s="22" t="str">
        <x:v>树的含义</x:v>
      </x:c>
      <x:c r="B12" s="22" t="str">
        <x:v>每个物质节点只定义一次</x:v>
      </x:c>
      <x:c r="C12" s="22" t="str">
        <x:v>共享投入</x:v>
      </x:c>
      <x:c r="D12" s="22" t="str">
        <x:v>在森林文件以@ID引用；底层是DAG</x:v>
      </x:c>
    </x:row>
    <x:row r="13" ht="40" customHeight="1">
      <x:c r="A13" s="22" t="str">
        <x:v>主矩阵单位</x:v>
      </x:c>
      <x:c r="B13" s="22" t="str">
        <x:v>kg有效组分当量 / 一单位终端</x:v>
      </x:c>
      <x:c r="C13" s="22" t="str">
        <x:v>不同终端单位</x:v>
      </x:c>
      <x:c r="D13" s="22" t="str">
        <x:v>kg、m²、套、kWh名义容量不能混加</x:v>
      </x:c>
    </x:row>
    <x:row r="14" ht="40" customHeight="1">
      <x:c r="A14" s="22" t="str">
        <x:v>毛投入</x:v>
      </x:c>
      <x:c r="B14" s="22" t="str">
        <x:v>沿选定配方展开，不抵扣副产品</x:v>
      </x:c>
      <x:c r="C14" s="22" t="str">
        <x:v>理想回水</x:v>
      </x:c>
      <x:c r="D14" s="22" t="str">
        <x:v>只抵扣同链回水；理想100%回收，不等于实际</x:v>
      </x:c>
    </x:row>
    <x:row r="15" ht="40" customHeight="1">
      <x:c r="A15" s="22" t="str">
        <x:v>矿料情景</x:v>
      </x:c>
      <x:c r="B15" s="22" t="str">
        <x:v>毛投入 / 假设品位 / 假设回收率</x:v>
      </x:c>
      <x:c r="C15" s="22" t="str">
        <x:v>注意</x:v>
      </x:c>
      <x:c r="D15" s="22" t="str">
        <x:v>不是矿山储量；共享矿体不能独立重复开挖</x:v>
      </x:c>
    </x:row>
    <x:row r="16" ht="40" customHeight="1">
      <x:c r="A16" s="22" t="str">
        <x:v>外部输入</x:v>
      </x:c>
      <x:c r="B16" s="22" t="str">
        <x:v>单独记电子件/精密件/辅材</x:v>
      </x:c>
      <x:c r="C16" s="22" t="str">
        <x:v>全自产？</x:v>
      </x:c>
      <x:c r="D16" s="22" t="str">
        <x:v>否；无对应外部库存时不能自动生产</x:v>
      </x:c>
    </x:row>
    <x:row r="17" ht="40" customHeight="1">
      <x:c r="A17" s="22" t="str">
        <x:v>副产氧/水/石膏</x:v>
      </x:c>
      <x:c r="B17" s="22" t="str">
        <x:v>有独立产出表</x:v>
      </x:c>
      <x:c r="C17" s="22" t="str">
        <x:v>多产品生产</x:v>
      </x:c>
      <x:c r="D17" s="22" t="str">
        <x:v>使用工艺级输入/输出，避免重复生产同一副产品</x:v>
      </x:c>
    </x:row>
    <x:row r="18" ht="40" customHeight="1">
      <x:c r="A18" s="22" t="str">
        <x:v>太阳能</x:v>
      </x:c>
      <x:c r="B18" s="22" t="str">
        <x:v>本表含太阳能板制造路线</x:v>
      </x:c>
      <x:c r="C18" s="22" t="str">
        <x:v>运行发电</x:v>
      </x:c>
      <x:c r="D18" s="22" t="str">
        <x:v>使用逐时板面辐照度；不把590W/m²当全天地表值</x:v>
      </x:c>
    </x:row>
    <x:row r="19" ht="40" customHeight="1">
      <x:c r="A19" s="22" t="str">
        <x:v>农业</x:v>
      </x:c>
      <x:c r="B19" s="22" t="str">
        <x:v>kg可食干物质；H占位系数</x:v>
      </x:c>
      <x:c r="C19" s="22" t="str">
        <x:v>重要限制</x:v>
      </x:c>
      <x:c r="D19" s="22" t="str">
        <x:v>非水培配方；还需光照、温控、周期、种源和盐平衡</x:v>
      </x:c>
    </x:row>
    <x:row r="20" ht="40" customHeight="1">
      <x:c r="A20" s="22" t="str">
        <x:v>设备</x:v>
      </x:c>
      <x:c r="B20" s="22" t="str">
        <x:v>质量为示例BOM</x:v>
      </x:c>
      <x:c r="C20" s="22" t="str">
        <x:v>性能资格</x:v>
      </x:c>
      <x:c r="D20" s="22" t="str">
        <x:v>名义功率/容积不是已保证性能或压力等级</x:v>
      </x:c>
    </x:row>
    <x:row r="21" ht="40" customHeight="1">
      <x:c r="A21" s="22" t="str">
        <x:v>编辑入口</x:v>
      </x:c>
      <x:c r="B21" s="22" t="str">
        <x:v>直接配方D列、原料假设E/F列、需求试算D列</x:v>
      </x:c>
      <x:c r="C21" s="22" t="str">
        <x:v>公式联动</x:v>
      </x:c>
      <x:c r="D21" s="22" t="str">
        <x:v>主原料、理想回水、矿料与外部矩阵自动更新</x:v>
      </x:c>
    </x:row>
    <x:row r="22" ht="40" customHeight="1">
      <x:c r="A22" s="22" t="str">
        <x:v>作物参数</x:v>
      </x:c>
      <x:c r="B22" s="22" t="str">
        <x:v>作物假设页是本次生成记录</x:v>
      </x:c>
      <x:c r="C22" s="22" t="str">
        <x:v>改变作物模型</x:v>
      </x:c>
      <x:c r="D22" s="22" t="str">
        <x:v>修改build_model.py后重新生成；不是该页直接编辑联动</x:v>
      </x:c>
    </x:row>
    <x:row r="23" ht="40" customHeight="1">
      <x:c r="A23" s="22" t="str">
        <x:v>审计范围</x:v>
      </x:c>
      <x:c r="B23" s="22" t="str">
        <x:v>6个核心反应守恒；41棵树节点唯一</x:v>
      </x:c>
      <x:c r="C23" s="22" t="str">
        <x:v>未证明</x:v>
      </x:c>
      <x:c r="D23" s="22" t="str">
        <x:v>全部设备可制造、全部作物守恒、全能耗/工艺闭合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03e625ced4514c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21" hidden="0" customWidth="1"/>
    <x:col min="5" max="5" width="31" hidden="0" customWidth="1"/>
    <x:col min="6" max="6" width="38" hidden="0" customWidth="1"/>
    <x:col min="7" max="7" width="38" hidden="0" customWidth="1"/>
    <x:col min="8" max="8" width="33" hidden="0" customWidth="1"/>
    <x:col min="9" max="9" width="30" hidden="0" customWidth="1"/>
    <x:col min="10" max="10" width="39" hidden="0" customWidth="1"/>
    <x:col min="11" max="11" width="40" hidden="0" customWidth="1"/>
  </x:cols>
  <x:sheetData>
    <x:row r="1" ht="34" customHeight="1">
      <x:c r="A1" s="4" t="str">
        <x:v>资源表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0" customHeight="1">
      <x:c r="A2" s="9" t="str">
        <x:v>丰度≠储量；区域估计≠可采量。元素表、矿物表与同一母岩可能重叠。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</x:row>
    <x:row r="5" ht="38" customHeight="1">
      <x:c r="A5" s="15" t="str">
        <x:v>ID</x:v>
      </x:c>
      <x:c r="B5" s="15" t="str">
        <x:v>类别</x:v>
      </x:c>
      <x:c r="C5" s="15" t="str">
        <x:v>资源/指标</x:v>
      </x:c>
      <x:c r="D5" s="15" t="str">
        <x:v>物质/当量</x:v>
      </x:c>
      <x:c r="E5" s="15" t="str">
        <x:v>证据状态</x:v>
      </x:c>
      <x:c r="F5" s="15" t="str">
        <x:v>丰度及测量基准</x:v>
      </x:c>
      <x:c r="G5" s="15" t="str">
        <x:v>库存/体积估计</x:v>
      </x:c>
      <x:c r="H5" s="15" t="str">
        <x:v>可采储量</x:v>
      </x:c>
      <x:c r="I5" s="15" t="str">
        <x:v>可能用途</x:v>
      </x:c>
      <x:c r="J5" s="15" t="str">
        <x:v>限定条件</x:v>
      </x:c>
      <x:c r="K5" s="15" t="str">
        <x:v>来源URL</x:v>
      </x:c>
    </x:row>
    <x:row r="6" ht="65" customHeight="1">
      <x:c r="A6" s="22" t="str">
        <x:v>G01</x:v>
      </x:c>
      <x:c r="B6" s="22" t="str">
        <x:v>大气</x:v>
      </x:c>
      <x:c r="C6" s="22" t="str">
        <x:v>CO₂</x:v>
      </x:c>
      <x:c r="D6" s="22" t="str">
        <x:v>CO2</x:v>
      </x:c>
      <x:c r="E6" s="22" t="str">
        <x:v>观测/参考值</x:v>
      </x:c>
      <x:c r="F6" s="22" t="str">
        <x:v>95.1 vol%；体积分数</x:v>
      </x:c>
      <x:c r="G6" s="22" t="str">
        <x:v>粗略全球组分库存≈2.41e+16 kg；按总大气质量换算，非采收承诺</x:v>
      </x:c>
      <x:c r="H6" s="22" t="str">
        <x:v>未建立可用于本项目的已探明经济可采储量</x:v>
      </x:c>
      <x:c r="I6" s="22" t="str">
        <x:v>气体分离；CO2为碳和氧来源；N2为氮源</x:v>
      </x:c>
      <x:c r="J6" s="22" t="str">
        <x:v>不同季节/高度/纬度有变化；极低含量物质通常不作首选大宗原料。</x:v>
      </x:c>
      <x:c r="K6" s="22" t="str">
        <x:v>https://nssdc.gsfc.nasa.gov/planetary/factsheet/marsfact.html</x:v>
      </x:c>
    </x:row>
    <x:row r="7" ht="65" customHeight="1">
      <x:c r="A7" s="22" t="str">
        <x:v>G02</x:v>
      </x:c>
      <x:c r="B7" s="22" t="str">
        <x:v>大气</x:v>
      </x:c>
      <x:c r="C7" s="22" t="str">
        <x:v>N₂</x:v>
      </x:c>
      <x:c r="D7" s="22" t="str">
        <x:v>N2</x:v>
      </x:c>
      <x:c r="E7" s="22" t="str">
        <x:v>观测/参考值</x:v>
      </x:c>
      <x:c r="F7" s="22" t="str">
        <x:v>2.59 vol%；体积分数</x:v>
      </x:c>
      <x:c r="G7" s="22" t="str">
        <x:v>粗略全球组分库存≈4.17e+14 kg；按总大气质量换算，非采收承诺</x:v>
      </x:c>
      <x:c r="H7" s="22" t="str">
        <x:v>未建立可用于本项目的已探明经济可采储量</x:v>
      </x:c>
      <x:c r="I7" s="22" t="str">
        <x:v>气体分离；CO2为碳和氧来源；N2为氮源</x:v>
      </x:c>
      <x:c r="J7" s="22" t="str">
        <x:v>不同季节/高度/纬度有变化；极低含量物质通常不作首选大宗原料。</x:v>
      </x:c>
      <x:c r="K7" s="22" t="str">
        <x:v>https://nssdc.gsfc.nasa.gov/planetary/factsheet/marsfact.html</x:v>
      </x:c>
    </x:row>
    <x:row r="8" ht="65" customHeight="1">
      <x:c r="A8" s="22" t="str">
        <x:v>G03</x:v>
      </x:c>
      <x:c r="B8" s="22" t="str">
        <x:v>大气</x:v>
      </x:c>
      <x:c r="C8" s="22" t="str">
        <x:v>Ar</x:v>
      </x:c>
      <x:c r="D8" s="22" t="str">
        <x:v>Ar</x:v>
      </x:c>
      <x:c r="E8" s="22" t="str">
        <x:v>观测/参考值</x:v>
      </x:c>
      <x:c r="F8" s="22" t="str">
        <x:v>1.94 vol%；体积分数</x:v>
      </x:c>
      <x:c r="G8" s="22" t="str">
        <x:v>粗略全球组分库存≈4.45e+14 kg；按总大气质量换算，非采收承诺</x:v>
      </x:c>
      <x:c r="H8" s="22" t="str">
        <x:v>未建立可用于本项目的已探明经济可采储量</x:v>
      </x:c>
      <x:c r="I8" s="22" t="str">
        <x:v>气体分离；CO2为碳和氧来源；N2为氮源</x:v>
      </x:c>
      <x:c r="J8" s="22" t="str">
        <x:v>不同季节/高度/纬度有变化；极低含量物质通常不作首选大宗原料。</x:v>
      </x:c>
      <x:c r="K8" s="22" t="str">
        <x:v>https://nssdc.gsfc.nasa.gov/planetary/factsheet/marsfact.html</x:v>
      </x:c>
    </x:row>
    <x:row r="9" ht="65" customHeight="1">
      <x:c r="A9" s="22" t="str">
        <x:v>G04</x:v>
      </x:c>
      <x:c r="B9" s="22" t="str">
        <x:v>大气</x:v>
      </x:c>
      <x:c r="C9" s="22" t="str">
        <x:v>O₂</x:v>
      </x:c>
      <x:c r="D9" s="22" t="str">
        <x:v>O2</x:v>
      </x:c>
      <x:c r="E9" s="22" t="str">
        <x:v>观测/参考值</x:v>
      </x:c>
      <x:c r="F9" s="22" t="str">
        <x:v>0.16 vol%；体积分数</x:v>
      </x:c>
      <x:c r="G9" s="22" t="str">
        <x:v>粗略全球组分库存≈2.94e+13 kg；按总大气质量换算，非采收承诺</x:v>
      </x:c>
      <x:c r="H9" s="22" t="str">
        <x:v>未建立可用于本项目的已探明经济可采储量</x:v>
      </x:c>
      <x:c r="I9" s="22" t="str">
        <x:v>气体分离；CO2为碳和氧来源；N2为氮源</x:v>
      </x:c>
      <x:c r="J9" s="22" t="str">
        <x:v>不同季节/高度/纬度有变化；极低含量物质通常不作首选大宗原料。</x:v>
      </x:c>
      <x:c r="K9" s="22" t="str">
        <x:v>https://nssdc.gsfc.nasa.gov/planetary/factsheet/marsfact.html</x:v>
      </x:c>
    </x:row>
    <x:row r="10" ht="65" customHeight="1">
      <x:c r="A10" s="22" t="str">
        <x:v>G05</x:v>
      </x:c>
      <x:c r="B10" s="22" t="str">
        <x:v>大气</x:v>
      </x:c>
      <x:c r="C10" s="22" t="str">
        <x:v>CO</x:v>
      </x:c>
      <x:c r="D10" s="22" t="str">
        <x:v>CO</x:v>
      </x:c>
      <x:c r="E10" s="22" t="str">
        <x:v>观测/参考值</x:v>
      </x:c>
      <x:c r="F10" s="22" t="str">
        <x:v>0.06 vol%；体积分数</x:v>
      </x:c>
      <x:c r="G10" s="22" t="str">
        <x:v>粗略全球组分库存≈9.66e+12 kg；按总大气质量换算，非采收承诺</x:v>
      </x:c>
      <x:c r="H10" s="22" t="str">
        <x:v>未建立可用于本项目的已探明经济可采储量</x:v>
      </x:c>
      <x:c r="I10" s="22" t="str">
        <x:v>气体分离；CO2为碳和氧来源；N2为氮源</x:v>
      </x:c>
      <x:c r="J10" s="22" t="str">
        <x:v>不同季节/高度/纬度有变化；极低含量物质通常不作首选大宗原料。</x:v>
      </x:c>
      <x:c r="K10" s="22" t="str">
        <x:v>https://nssdc.gsfc.nasa.gov/planetary/factsheet/marsfact.html</x:v>
      </x:c>
    </x:row>
    <x:row r="11" ht="65" customHeight="1">
      <x:c r="A11" s="22" t="str">
        <x:v>G06</x:v>
      </x:c>
      <x:c r="B11" s="22" t="str">
        <x:v>大气</x:v>
      </x:c>
      <x:c r="C11" s="22" t="str">
        <x:v>水蒸气</x:v>
      </x:c>
      <x:c r="D11" s="22" t="str">
        <x:v>H2O</x:v>
      </x:c>
      <x:c r="E11" s="22" t="str">
        <x:v>观测/参考值</x:v>
      </x:c>
      <x:c r="F11" s="22" t="str">
        <x:v>0.021 vol%；体积分数</x:v>
      </x:c>
      <x:c r="G11" s="22" t="str">
        <x:v>粗略全球组分库存≈2.17e+12 kg；按总大气质量换算，非采收承诺</x:v>
      </x:c>
      <x:c r="H11" s="22" t="str">
        <x:v>未建立可用于本项目的已探明经济可采储量</x:v>
      </x:c>
      <x:c r="I11" s="22" t="str">
        <x:v>气体分离；CO2为碳和氧来源；N2为氮源</x:v>
      </x:c>
      <x:c r="J11" s="22" t="str">
        <x:v>不同季节/高度/纬度有变化；极低含量物质通常不作首选大宗原料。</x:v>
      </x:c>
      <x:c r="K11" s="22" t="str">
        <x:v>https://nssdc.gsfc.nasa.gov/planetary/factsheet/marsfact.html</x:v>
      </x:c>
    </x:row>
    <x:row r="12" ht="65" customHeight="1">
      <x:c r="A12" s="22" t="str">
        <x:v>G07</x:v>
      </x:c>
      <x:c r="B12" s="22" t="str">
        <x:v>大气</x:v>
      </x:c>
      <x:c r="C12" s="22" t="str">
        <x:v>Ne</x:v>
      </x:c>
      <x:c r="D12" s="22" t="str">
        <x:v>Ne</x:v>
      </x:c>
      <x:c r="E12" s="22" t="str">
        <x:v>观测/参考值</x:v>
      </x:c>
      <x:c r="F12" s="22" t="str">
        <x:v>0.00025 vol%；体积分数</x:v>
      </x:c>
      <x:c r="G12" s="22" t="str">
        <x:v>粗略全球组分库存≈2.9e+10 kg；按总大气质量换算，非采收承诺</x:v>
      </x:c>
      <x:c r="H12" s="22" t="str">
        <x:v>未建立可用于本项目的已探明经济可采储量</x:v>
      </x:c>
      <x:c r="I12" s="22" t="str">
        <x:v>气体分离；CO2为碳和氧来源；N2为氮源</x:v>
      </x:c>
      <x:c r="J12" s="22" t="str">
        <x:v>不同季节/高度/纬度有变化；极低含量物质通常不作首选大宗原料。</x:v>
      </x:c>
      <x:c r="K12" s="22" t="str">
        <x:v>https://nssdc.gsfc.nasa.gov/planetary/factsheet/marsfact.html</x:v>
      </x:c>
    </x:row>
    <x:row r="13" ht="65" customHeight="1">
      <x:c r="A13" s="22" t="str">
        <x:v>G08</x:v>
      </x:c>
      <x:c r="B13" s="22" t="str">
        <x:v>大气</x:v>
      </x:c>
      <x:c r="C13" s="22" t="str">
        <x:v>Kr</x:v>
      </x:c>
      <x:c r="D13" s="22" t="str">
        <x:v>Kr</x:v>
      </x:c>
      <x:c r="E13" s="22" t="str">
        <x:v>观测/参考值</x:v>
      </x:c>
      <x:c r="F13" s="22" t="str">
        <x:v>3e-05 vol%；体积分数</x:v>
      </x:c>
      <x:c r="G13" s="22" t="str">
        <x:v>粗略全球组分库存≈1.45e+10 kg；按总大气质量换算，非采收承诺</x:v>
      </x:c>
      <x:c r="H13" s="22" t="str">
        <x:v>未建立可用于本项目的已探明经济可采储量</x:v>
      </x:c>
      <x:c r="I13" s="22" t="str">
        <x:v>气体分离；CO2为碳和氧来源；N2为氮源</x:v>
      </x:c>
      <x:c r="J13" s="22" t="str">
        <x:v>不同季节/高度/纬度有变化；极低含量物质通常不作首选大宗原料。</x:v>
      </x:c>
      <x:c r="K13" s="22" t="str">
        <x:v>https://nssdc.gsfc.nasa.gov/planetary/factsheet/marsfact.html</x:v>
      </x:c>
    </x:row>
    <x:row r="14" ht="65" customHeight="1">
      <x:c r="A14" s="22" t="str">
        <x:v>G09</x:v>
      </x:c>
      <x:c r="B14" s="22" t="str">
        <x:v>大气</x:v>
      </x:c>
      <x:c r="C14" s="22" t="str">
        <x:v>Xe</x:v>
      </x:c>
      <x:c r="D14" s="22" t="str">
        <x:v>Xe</x:v>
      </x:c>
      <x:c r="E14" s="22" t="str">
        <x:v>观测/参考值</x:v>
      </x:c>
      <x:c r="F14" s="22" t="str">
        <x:v>8e-06 vol%；体积分数</x:v>
      </x:c>
      <x:c r="G14" s="22" t="str">
        <x:v>粗略全球组分库存≈6.04e+09 kg；按总大气质量换算，非采收承诺</x:v>
      </x:c>
      <x:c r="H14" s="22" t="str">
        <x:v>未建立可用于本项目的已探明经济可采储量</x:v>
      </x:c>
      <x:c r="I14" s="22" t="str">
        <x:v>气体分离；CO2为碳和氧来源；N2为氮源</x:v>
      </x:c>
      <x:c r="J14" s="22" t="str">
        <x:v>不同季节/高度/纬度有变化；极低含量物质通常不作首选大宗原料。</x:v>
      </x:c>
      <x:c r="K14" s="22" t="str">
        <x:v>https://nssdc.gsfc.nasa.gov/planetary/factsheet/marsfact.html</x:v>
      </x:c>
    </x:row>
    <x:row r="15" ht="65" customHeight="1">
      <x:c r="A15" s="22" t="str">
        <x:v>G10</x:v>
      </x:c>
      <x:c r="B15" s="22" t="str">
        <x:v>大气</x:v>
      </x:c>
      <x:c r="C15" s="22" t="str">
        <x:v>其他痕量与同位素气体</x:v>
      </x:c>
      <x:c r="D15" s="22" t="str">
        <x:v>HDO/NO/H₂/He/O₃等</x:v>
      </x:c>
      <x:c r="E15" s="22" t="str">
        <x:v>观测或物理化学存在；逐项证据不等同</x:v>
      </x:c>
      <x:c r="F15" s="22" t="str">
        <x:v>不设统一稳定丰度；NASA参考表HDO约0.85ppm、NO约100ppm</x:v>
      </x:c>
      <x:c r="G15" s="22" t="str">
        <x:v>未统一估计</x:v>
      </x:c>
      <x:c r="H15" s="22" t="str">
        <x:v>未建立可用于本项目的已探明经济可采储量</x:v>
      </x:c>
      <x:c r="I15" s="22" t="str">
        <x:v>科研/可选痕量模块</x:v>
      </x:c>
      <x:c r="J15" s="22" t="str">
        <x:v>未将未逐项核实的成分用作生产供给。</x:v>
      </x:c>
      <x:c r="K15" s="22" t="str">
        <x:v>https://nssdc.gsfc.nasa.gov/planetary/factsheet/marsfact.html</x:v>
      </x:c>
    </x:row>
    <x:row r="16" ht="65" customHeight="1">
      <x:c r="A16" s="22" t="str">
        <x:v>G11</x:v>
      </x:c>
      <x:c r="B16" s="22" t="str">
        <x:v>大气</x:v>
      </x:c>
      <x:c r="C16" s="22" t="str">
        <x:v>甲烷</x:v>
      </x:c>
      <x:c r="D16" s="22" t="str">
        <x:v>CH4</x:v>
      </x:c>
      <x:c r="E16" s="22" t="str">
        <x:v>观测不一致</x:v>
      </x:c>
      <x:c r="F16" s="22" t="str">
        <x:v>近地检测与轨道未检出不一致；TGO相关研究上限&lt;0.05ppbv，常更低</x:v>
      </x:c>
      <x:c r="G16" s="22" t="str">
        <x:v>无可用天然气储量</x:v>
      </x:c>
      <x:c r="H16" s="22" t="str">
        <x:v>未建立可用于本项目的已探明经济可采储量</x:v>
      </x:c>
      <x:c r="I16" s="22" t="str">
        <x:v>默认仅采用合成甲烷</x:v>
      </x:c>
      <x:c r="J16" s="22" t="str"/>
      <x:c r="K16" s="22" t="str">
        <x:v>https://www.esa.int/About_Us/ESAC/ExoMars_orbiter_continues_hunt_for_key_signs_of_life_on_Mars</x:v>
      </x:c>
    </x:row>
    <x:row r="17" ht="65" customHeight="1">
      <x:c r="A17" s="22" t="str">
        <x:v>W01</x:v>
      </x:c>
      <x:c r="B17" s="22" t="str">
        <x:v>水与冰</x:v>
      </x:c>
      <x:c r="C17" s="22" t="str">
        <x:v>两极水冰</x:v>
      </x:c>
      <x:c r="D17" s="22" t="str">
        <x:v>H2O</x:v>
      </x:c>
      <x:c r="E17" s="22" t="str">
        <x:v>确认</x:v>
      </x:c>
      <x:c r="F17" s="22" t="str">
        <x:v>冰与尘土混合，局部品位不同</x:v>
      </x:c>
      <x:c r="G17" s="22" t="str">
        <x:v>历史MOLA估计总体积约3.2—4.7×10^6 km3（2000年）</x:v>
      </x:c>
      <x:c r="H17" s="22" t="str">
        <x:v>未建立可用于本项目的已探明经济可采储量</x:v>
      </x:c>
      <x:c r="I17" s="22" t="str">
        <x:v>水、氢、氧、热管理</x:v>
      </x:c>
      <x:c r="J17" s="22" t="str">
        <x:v>历史数量级，不能与区域地下冰重复累加。</x:v>
      </x:c>
      <x:c r="K17" s="22" t="str">
        <x:v>https://ntrs.nasa.gov/citations/20000033862</x:v>
      </x:c>
    </x:row>
    <x:row r="18" ht="65" customHeight="1">
      <x:c r="A18" s="22" t="str">
        <x:v>W02</x:v>
      </x:c>
      <x:c r="B18" s="22" t="str">
        <x:v>水与冰</x:v>
      </x:c>
      <x:c r="C18" s="22" t="str">
        <x:v>中纬度浅层地下冰</x:v>
      </x:c>
      <x:c r="D18" s="22" t="str">
        <x:v>H2O</x:v>
      </x:c>
      <x:c r="E18" s="22" t="str">
        <x:v>多证据支持；具体区块需探测</x:v>
      </x:c>
      <x:c r="F18" s="22" t="str">
        <x:v>USGS 2026模型：约45°以极方向较有利；深度与含冰量局地变化</x:v>
      </x:c>
      <x:c r="G18" s="22" t="str">
        <x:v>全球可开采量未定</x:v>
      </x:c>
      <x:c r="H18" s="22" t="str">
        <x:v>未建立可用于本项目的已探明经济可采储量</x:v>
      </x:c>
      <x:c r="I18" s="22" t="str">
        <x:v>首选水资源候选</x:v>
      </x:c>
      <x:c r="J18" s="22" t="str"/>
      <x:c r="K18" s="22" t="str">
        <x:v>https://www.usgs.gov/publications/subsurface-water-ice-mapping-mars-a-probabilistic-approach</x:v>
      </x:c>
    </x:row>
    <x:row r="19" ht="65" customHeight="1">
      <x:c r="A19" s="22" t="str">
        <x:v>W03</x:v>
      </x:c>
      <x:c r="B19" s="22" t="str">
        <x:v>水与冰</x:v>
      </x:c>
      <x:c r="C19" s="22" t="str">
        <x:v>Utopia Planitia地下冰</x:v>
      </x:c>
      <x:c r="D19" s="22" t="str">
        <x:v>H2O</x:v>
      </x:c>
      <x:c r="E19" s="22" t="str">
        <x:v>雷达解释</x:v>
      </x:c>
      <x:c r="F19" s="22" t="str">
        <x:v>覆盖层与含冰量需现场测量</x:v>
      </x:c>
      <x:c r="G19" s="22" t="str">
        <x:v>2016水当量体积估计约14300 km3</x:v>
      </x:c>
      <x:c r="H19" s="22" t="str">
        <x:v>未建立可用于本项目的已探明经济可采储量</x:v>
      </x:c>
      <x:c r="I19" s="22" t="str">
        <x:v>区域水资源</x:v>
      </x:c>
      <x:c r="J19" s="22" t="str"/>
      <x:c r="K19" s="22" t="str">
        <x:v>https://science.nasa.gov/resource/location-of-large-subsurface-water-ice-deposit-in-utopia-planitia-mars/</x:v>
      </x:c>
    </x:row>
    <x:row r="20" ht="65" customHeight="1">
      <x:c r="A20" s="22" t="str">
        <x:v>W04</x:v>
      </x:c>
      <x:c r="B20" s="22" t="str">
        <x:v>水与冰</x:v>
      </x:c>
      <x:c r="C20" s="22" t="str">
        <x:v>Medusae Fossae疑似地下冰</x:v>
      </x:c>
      <x:c r="D20" s="22" t="str">
        <x:v>H2O</x:v>
      </x:c>
      <x:c r="E20" s="22" t="str">
        <x:v>有条件的雷达解释</x:v>
      </x:c>
      <x:c r="F20" s="22" t="str">
        <x:v>干覆盖层约300—600m</x:v>
      </x:c>
      <x:c r="G20" s="22" t="str">
        <x:v>假设富冰解释成立，约2.2—4.0×10^5 km3冰</x:v>
      </x:c>
      <x:c r="H20" s="22" t="str">
        <x:v>未建立可用于本项目的已探明经济可采储量</x:v>
      </x:c>
      <x:c r="I20" s="22" t="str">
        <x:v>远期情景</x:v>
      </x:c>
      <x:c r="J20" s="22" t="str">
        <x:v>不是已钻探确认的浅层水矿。</x:v>
      </x:c>
      <x:c r="K20" s="22" t="str">
        <x:v>https://www.esa.int/ESA_Multimedia/Images/2024/01/Map_of_suspected_ice_at_Mars_s_equator2</x:v>
      </x:c>
    </x:row>
    <x:row r="21" ht="65" customHeight="1">
      <x:c r="A21" s="22" t="str">
        <x:v>W05</x:v>
      </x:c>
      <x:c r="B21" s="22" t="str">
        <x:v>水与冰</x:v>
      </x:c>
      <x:c r="C21" s="22" t="str">
        <x:v>风化层结合水/羟基</x:v>
      </x:c>
      <x:c r="D21" s="22" t="str">
        <x:v>H2O/OH</x:v>
      </x:c>
      <x:c r="E21" s="22" t="str">
        <x:v>确认</x:v>
      </x:c>
      <x:c r="F21" s="22" t="str">
        <x:v>低中纬度水当量氢约2—10 wt%，不能全当自由水</x:v>
      </x:c>
      <x:c r="G21" s="22" t="str">
        <x:v>未估算</x:v>
      </x:c>
      <x:c r="H21" s="22" t="str">
        <x:v>未建立可用于本项目的已探明经济可采储量</x:v>
      </x:c>
      <x:c r="I21" s="22" t="str">
        <x:v>热提水备选</x:v>
      </x:c>
      <x:c r="J21" s="22" t="str">
        <x:v>化学结合与自由冰开采能耗不同。</x:v>
      </x:c>
      <x:c r="K21" s="22" t="str">
        <x:v>https://mars.nasa.gov/files/msl/Science-2013-Meslin-.pdf</x:v>
      </x:c>
    </x:row>
    <x:row r="22" ht="65" customHeight="1">
      <x:c r="A22" s="22" t="str">
        <x:v>W06</x:v>
      </x:c>
      <x:c r="B22" s="22" t="str">
        <x:v>水与冰</x:v>
      </x:c>
      <x:c r="C22" s="22" t="str">
        <x:v>二氧化碳霜/干冰</x:v>
      </x:c>
      <x:c r="D22" s="22" t="str">
        <x:v>CO2</x:v>
      </x:c>
      <x:c r="E22" s="22" t="str">
        <x:v>确认</x:v>
      </x:c>
      <x:c r="F22" s="22" t="str">
        <x:v>季节极冠及残余极区；随季节变化</x:v>
      </x:c>
      <x:c r="G22" s="22" t="str">
        <x:v>不设统一可采库存</x:v>
      </x:c>
      <x:c r="H22" s="22" t="str">
        <x:v>未建立可用于本项目的已探明经济可采储量</x:v>
      </x:c>
      <x:c r="I22" s="22" t="str">
        <x:v>CO2备选来源</x:v>
      </x:c>
      <x:c r="J22" s="22" t="str"/>
      <x:c r="K22" s="22" t="str">
        <x:v>https://nssdc.gsfc.nasa.gov/planetary/factsheet/marsfact.html</x:v>
      </x:c>
    </x:row>
    <x:row r="23" ht="65" customHeight="1">
      <x:c r="A23" s="22" t="str">
        <x:v>W07</x:v>
      </x:c>
      <x:c r="B23" s="22" t="str">
        <x:v>水与冰</x:v>
      </x:c>
      <x:c r="C23" s="22" t="str">
        <x:v>深层液态水/盐水</x:v>
      </x:c>
      <x:c r="D23" s="22" t="str">
        <x:v>H2O+盐</x:v>
      </x:c>
      <x:c r="E23" s="22" t="str">
        <x:v>解释有争议/未钻探验证</x:v>
      </x:c>
      <x:c r="F23" s="22" t="str">
        <x:v>不输入确定含量</x:v>
      </x:c>
      <x:c r="G23" s="22" t="str">
        <x:v>未知</x:v>
      </x:c>
      <x:c r="H23" s="22" t="str">
        <x:v>未建立可用于本项目的已探明经济可采储量</x:v>
      </x:c>
      <x:c r="I23" s="22" t="str">
        <x:v>不纳入基础供水</x:v>
      </x:c>
      <x:c r="J23" s="22" t="str">
        <x:v>默认不可用，而非判定不存在。</x:v>
      </x:c>
      <x:c r="K23" s="22" t="str">
        <x:v>https://www.usgs.gov/publications/subsurface-water-ice-mapping-mars-a-probabilistic-approach</x:v>
      </x:c>
    </x:row>
    <x:row r="24" ht="65" customHeight="1">
      <x:c r="A24" s="22" t="str">
        <x:v>B01</x:v>
      </x:c>
      <x:c r="B24" s="22" t="str">
        <x:v>局部整体岩土化学</x:v>
      </x:c>
      <x:c r="C24" s="22" t="str">
        <x:v>Si元素含量（氧化物等效）</x:v>
      </x:c>
      <x:c r="D24" s="22" t="str">
        <x:v>SiO2</x:v>
      </x:c>
      <x:c r="E24" s="22" t="str">
        <x:v>Portage APXS局部实测</x:v>
      </x:c>
      <x:c r="F24" s="22" t="str">
        <x:v>42.88 wt%（水/碳不计归一化）</x:v>
      </x:c>
      <x:c r="G24" s="22" t="str">
        <x:v>未知；禁止由一个采样点乘全火星面积外推</x:v>
      </x:c>
      <x:c r="H24" s="22" t="str">
        <x:v>未建立可用于本项目的已探明经济可采储量</x:v>
      </x:c>
      <x:c r="I24" s="22" t="str">
        <x:v>材料与营养元素资源线索</x:v>
      </x:c>
      <x:c r="J24" s="22" t="str">
        <x:v>不是对应纯氧化物矿藏；不能视为全部可直接分离。</x:v>
      </x:c>
      <x:c r="K24" s="22" t="str">
        <x:v>https://mars.nasa.gov/files/msl/Science-2013-Meslin-.pdf</x:v>
      </x:c>
    </x:row>
    <x:row r="25" ht="65" customHeight="1">
      <x:c r="A25" s="22" t="str">
        <x:v>B02</x:v>
      </x:c>
      <x:c r="B25" s="22" t="str">
        <x:v>局部整体岩土化学</x:v>
      </x:c>
      <x:c r="C25" s="22" t="str">
        <x:v>Fe元素含量（氧化物等效）</x:v>
      </x:c>
      <x:c r="D25" s="22" t="str">
        <x:v>FeOT</x:v>
      </x:c>
      <x:c r="E25" s="22" t="str">
        <x:v>Portage APXS局部实测</x:v>
      </x:c>
      <x:c r="F25" s="22" t="str">
        <x:v>19.19 wt%（水/碳不计归一化）</x:v>
      </x:c>
      <x:c r="G25" s="22" t="str">
        <x:v>未知；禁止由一个采样点乘全火星面积外推</x:v>
      </x:c>
      <x:c r="H25" s="22" t="str">
        <x:v>未建立可用于本项目的已探明经济可采储量</x:v>
      </x:c>
      <x:c r="I25" s="22" t="str">
        <x:v>材料与营养元素资源线索</x:v>
      </x:c>
      <x:c r="J25" s="22" t="str">
        <x:v>不是对应纯氧化物矿藏；不能视为全部可直接分离。</x:v>
      </x:c>
      <x:c r="K25" s="22" t="str">
        <x:v>https://mars.nasa.gov/files/msl/Science-2013-Meslin-.pdf</x:v>
      </x:c>
    </x:row>
    <x:row r="26" ht="65" customHeight="1">
      <x:c r="A26" s="22" t="str">
        <x:v>B03</x:v>
      </x:c>
      <x:c r="B26" s="22" t="str">
        <x:v>局部整体岩土化学</x:v>
      </x:c>
      <x:c r="C26" s="22" t="str">
        <x:v>Al元素含量（氧化物等效）</x:v>
      </x:c>
      <x:c r="D26" s="22" t="str">
        <x:v>Al2O3</x:v>
      </x:c>
      <x:c r="E26" s="22" t="str">
        <x:v>Portage APXS局部实测</x:v>
      </x:c>
      <x:c r="F26" s="22" t="str">
        <x:v>9.43 wt%（水/碳不计归一化）</x:v>
      </x:c>
      <x:c r="G26" s="22" t="str">
        <x:v>未知；禁止由一个采样点乘全火星面积外推</x:v>
      </x:c>
      <x:c r="H26" s="22" t="str">
        <x:v>未建立可用于本项目的已探明经济可采储量</x:v>
      </x:c>
      <x:c r="I26" s="22" t="str">
        <x:v>材料与营养元素资源线索</x:v>
      </x:c>
      <x:c r="J26" s="22" t="str">
        <x:v>不是对应纯氧化物矿藏；不能视为全部可直接分离。</x:v>
      </x:c>
      <x:c r="K26" s="22" t="str">
        <x:v>https://mars.nasa.gov/files/msl/Science-2013-Meslin-.pdf</x:v>
      </x:c>
    </x:row>
    <x:row r="27" ht="65" customHeight="1">
      <x:c r="A27" s="22" t="str">
        <x:v>B04</x:v>
      </x:c>
      <x:c r="B27" s="22" t="str">
        <x:v>局部整体岩土化学</x:v>
      </x:c>
      <x:c r="C27" s="22" t="str">
        <x:v>Mg元素含量（氧化物等效）</x:v>
      </x:c>
      <x:c r="D27" s="22" t="str">
        <x:v>MgO</x:v>
      </x:c>
      <x:c r="E27" s="22" t="str">
        <x:v>Portage APXS局部实测</x:v>
      </x:c>
      <x:c r="F27" s="22" t="str">
        <x:v>8.69 wt%（水/碳不计归一化）</x:v>
      </x:c>
      <x:c r="G27" s="22" t="str">
        <x:v>未知；禁止由一个采样点乘全火星面积外推</x:v>
      </x:c>
      <x:c r="H27" s="22" t="str">
        <x:v>未建立可用于本项目的已探明经济可采储量</x:v>
      </x:c>
      <x:c r="I27" s="22" t="str">
        <x:v>材料与营养元素资源线索</x:v>
      </x:c>
      <x:c r="J27" s="22" t="str">
        <x:v>不是对应纯氧化物矿藏；不能视为全部可直接分离。</x:v>
      </x:c>
      <x:c r="K27" s="22" t="str">
        <x:v>https://mars.nasa.gov/files/msl/Science-2013-Meslin-.pdf</x:v>
      </x:c>
    </x:row>
    <x:row r="28" ht="65" customHeight="1">
      <x:c r="A28" s="22" t="str">
        <x:v>B05</x:v>
      </x:c>
      <x:c r="B28" s="22" t="str">
        <x:v>局部整体岩土化学</x:v>
      </x:c>
      <x:c r="C28" s="22" t="str">
        <x:v>Ca元素含量（氧化物等效）</x:v>
      </x:c>
      <x:c r="D28" s="22" t="str">
        <x:v>CaO</x:v>
      </x:c>
      <x:c r="E28" s="22" t="str">
        <x:v>Portage APXS局部实测</x:v>
      </x:c>
      <x:c r="F28" s="22" t="str">
        <x:v>7.28 wt%（水/碳不计归一化）</x:v>
      </x:c>
      <x:c r="G28" s="22" t="str">
        <x:v>未知；禁止由一个采样点乘全火星面积外推</x:v>
      </x:c>
      <x:c r="H28" s="22" t="str">
        <x:v>未建立可用于本项目的已探明经济可采储量</x:v>
      </x:c>
      <x:c r="I28" s="22" t="str">
        <x:v>材料与营养元素资源线索</x:v>
      </x:c>
      <x:c r="J28" s="22" t="str">
        <x:v>不是对应纯氧化物矿藏；不能视为全部可直接分离。</x:v>
      </x:c>
      <x:c r="K28" s="22" t="str">
        <x:v>https://mars.nasa.gov/files/msl/Science-2013-Meslin-.pdf</x:v>
      </x:c>
    </x:row>
    <x:row r="29" ht="65" customHeight="1">
      <x:c r="A29" s="22" t="str">
        <x:v>B06</x:v>
      </x:c>
      <x:c r="B29" s="22" t="str">
        <x:v>局部整体岩土化学</x:v>
      </x:c>
      <x:c r="C29" s="22" t="str">
        <x:v>Na元素含量（氧化物等效）</x:v>
      </x:c>
      <x:c r="D29" s="22" t="str">
        <x:v>Na2O</x:v>
      </x:c>
      <x:c r="E29" s="22" t="str">
        <x:v>Portage APXS局部实测</x:v>
      </x:c>
      <x:c r="F29" s="22" t="str">
        <x:v>2.72 wt%（水/碳不计归一化）</x:v>
      </x:c>
      <x:c r="G29" s="22" t="str">
        <x:v>未知；禁止由一个采样点乘全火星面积外推</x:v>
      </x:c>
      <x:c r="H29" s="22" t="str">
        <x:v>未建立可用于本项目的已探明经济可采储量</x:v>
      </x:c>
      <x:c r="I29" s="22" t="str">
        <x:v>材料与营养元素资源线索</x:v>
      </x:c>
      <x:c r="J29" s="22" t="str">
        <x:v>不是对应纯氧化物矿藏；不能视为全部可直接分离。</x:v>
      </x:c>
      <x:c r="K29" s="22" t="str">
        <x:v>https://mars.nasa.gov/files/msl/Science-2013-Meslin-.pdf</x:v>
      </x:c>
    </x:row>
    <x:row r="30" ht="65" customHeight="1">
      <x:c r="A30" s="22" t="str">
        <x:v>B07</x:v>
      </x:c>
      <x:c r="B30" s="22" t="str">
        <x:v>局部整体岩土化学</x:v>
      </x:c>
      <x:c r="C30" s="22" t="str">
        <x:v>Ti元素含量（氧化物等效）</x:v>
      </x:c>
      <x:c r="D30" s="22" t="str">
        <x:v>TiO2</x:v>
      </x:c>
      <x:c r="E30" s="22" t="str">
        <x:v>Portage APXS局部实测</x:v>
      </x:c>
      <x:c r="F30" s="22" t="str">
        <x:v>1.19 wt%（水/碳不计归一化）</x:v>
      </x:c>
      <x:c r="G30" s="22" t="str">
        <x:v>未知；禁止由一个采样点乘全火星面积外推</x:v>
      </x:c>
      <x:c r="H30" s="22" t="str">
        <x:v>未建立可用于本项目的已探明经济可采储量</x:v>
      </x:c>
      <x:c r="I30" s="22" t="str">
        <x:v>材料与营养元素资源线索</x:v>
      </x:c>
      <x:c r="J30" s="22" t="str">
        <x:v>不是对应纯氧化物矿藏；不能视为全部可直接分离。</x:v>
      </x:c>
      <x:c r="K30" s="22" t="str">
        <x:v>https://mars.nasa.gov/files/msl/Science-2013-Meslin-.pdf</x:v>
      </x:c>
    </x:row>
    <x:row r="31" ht="65" customHeight="1">
      <x:c r="A31" s="22" t="str">
        <x:v>B08</x:v>
      </x:c>
      <x:c r="B31" s="22" t="str">
        <x:v>局部整体岩土化学</x:v>
      </x:c>
      <x:c r="C31" s="22" t="str">
        <x:v>P元素含量（氧化物等效）</x:v>
      </x:c>
      <x:c r="D31" s="22" t="str">
        <x:v>P2O5</x:v>
      </x:c>
      <x:c r="E31" s="22" t="str">
        <x:v>Portage APXS局部实测</x:v>
      </x:c>
      <x:c r="F31" s="22" t="str">
        <x:v>0.94 wt%（水/碳不计归一化）</x:v>
      </x:c>
      <x:c r="G31" s="22" t="str">
        <x:v>未知；禁止由一个采样点乘全火星面积外推</x:v>
      </x:c>
      <x:c r="H31" s="22" t="str">
        <x:v>未建立可用于本项目的已探明经济可采储量</x:v>
      </x:c>
      <x:c r="I31" s="22" t="str">
        <x:v>材料与营养元素资源线索</x:v>
      </x:c>
      <x:c r="J31" s="22" t="str">
        <x:v>不是对应纯氧化物矿藏；不能视为全部可直接分离。</x:v>
      </x:c>
      <x:c r="K31" s="22" t="str">
        <x:v>https://mars.nasa.gov/files/msl/Science-2013-Meslin-.pdf</x:v>
      </x:c>
    </x:row>
    <x:row r="32" ht="65" customHeight="1">
      <x:c r="A32" s="22" t="str">
        <x:v>B09</x:v>
      </x:c>
      <x:c r="B32" s="22" t="str">
        <x:v>局部整体岩土化学</x:v>
      </x:c>
      <x:c r="C32" s="22" t="str">
        <x:v>K元素含量（氧化物等效）</x:v>
      </x:c>
      <x:c r="D32" s="22" t="str">
        <x:v>K2O</x:v>
      </x:c>
      <x:c r="E32" s="22" t="str">
        <x:v>Portage APXS局部实测</x:v>
      </x:c>
      <x:c r="F32" s="22" t="str">
        <x:v>0.49 wt%（水/碳不计归一化）</x:v>
      </x:c>
      <x:c r="G32" s="22" t="str">
        <x:v>未知；禁止由一个采样点乘全火星面积外推</x:v>
      </x:c>
      <x:c r="H32" s="22" t="str">
        <x:v>未建立可用于本项目的已探明经济可采储量</x:v>
      </x:c>
      <x:c r="I32" s="22" t="str">
        <x:v>材料与营养元素资源线索</x:v>
      </x:c>
      <x:c r="J32" s="22" t="str">
        <x:v>不是对应纯氧化物矿藏；不能视为全部可直接分离。</x:v>
      </x:c>
      <x:c r="K32" s="22" t="str">
        <x:v>https://mars.nasa.gov/files/msl/Science-2013-Meslin-.pdf</x:v>
      </x:c>
    </x:row>
    <x:row r="33" ht="65" customHeight="1">
      <x:c r="A33" s="22" t="str">
        <x:v>B10</x:v>
      </x:c>
      <x:c r="B33" s="22" t="str">
        <x:v>局部整体岩土化学</x:v>
      </x:c>
      <x:c r="C33" s="22" t="str">
        <x:v>Cr元素含量（氧化物等效）</x:v>
      </x:c>
      <x:c r="D33" s="22" t="str">
        <x:v>Cr2O3</x:v>
      </x:c>
      <x:c r="E33" s="22" t="str">
        <x:v>Portage APXS局部实测</x:v>
      </x:c>
      <x:c r="F33" s="22" t="str">
        <x:v>0.49 wt%（水/碳不计归一化）</x:v>
      </x:c>
      <x:c r="G33" s="22" t="str">
        <x:v>未知；禁止由一个采样点乘全火星面积外推</x:v>
      </x:c>
      <x:c r="H33" s="22" t="str">
        <x:v>未建立可用于本项目的已探明经济可采储量</x:v>
      </x:c>
      <x:c r="I33" s="22" t="str">
        <x:v>材料与营养元素资源线索</x:v>
      </x:c>
      <x:c r="J33" s="22" t="str">
        <x:v>不是对应纯氧化物矿藏；不能视为全部可直接分离。</x:v>
      </x:c>
      <x:c r="K33" s="22" t="str">
        <x:v>https://mars.nasa.gov/files/msl/Science-2013-Meslin-.pdf</x:v>
      </x:c>
    </x:row>
    <x:row r="34" ht="65" customHeight="1">
      <x:c r="A34" s="22" t="str">
        <x:v>B11</x:v>
      </x:c>
      <x:c r="B34" s="22" t="str">
        <x:v>局部整体岩土化学</x:v>
      </x:c>
      <x:c r="C34" s="22" t="str">
        <x:v>Mn元素含量（氧化物等效）</x:v>
      </x:c>
      <x:c r="D34" s="22" t="str">
        <x:v>MnO</x:v>
      </x:c>
      <x:c r="E34" s="22" t="str">
        <x:v>Portage APXS局部实测</x:v>
      </x:c>
      <x:c r="F34" s="22" t="str">
        <x:v>0.41 wt%（水/碳不计归一化）</x:v>
      </x:c>
      <x:c r="G34" s="22" t="str">
        <x:v>未知；禁止由一个采样点乘全火星面积外推</x:v>
      </x:c>
      <x:c r="H34" s="22" t="str">
        <x:v>未建立可用于本项目的已探明经济可采储量</x:v>
      </x:c>
      <x:c r="I34" s="22" t="str">
        <x:v>材料与营养元素资源线索</x:v>
      </x:c>
      <x:c r="J34" s="22" t="str">
        <x:v>不是对应纯氧化物矿藏；不能视为全部可直接分离。</x:v>
      </x:c>
      <x:c r="K34" s="22" t="str">
        <x:v>https://mars.nasa.gov/files/msl/Science-2013-Meslin-.pdf</x:v>
      </x:c>
    </x:row>
    <x:row r="35" ht="65" customHeight="1">
      <x:c r="A35" s="22" t="str">
        <x:v>B12</x:v>
      </x:c>
      <x:c r="B35" s="22" t="str">
        <x:v>局部整体岩土化学</x:v>
      </x:c>
      <x:c r="C35" s="22" t="str">
        <x:v>S元素含量（氧化物等效）</x:v>
      </x:c>
      <x:c r="D35" s="22" t="str">
        <x:v>SO3</x:v>
      </x:c>
      <x:c r="E35" s="22" t="str">
        <x:v>Portage APXS局部实测</x:v>
      </x:c>
      <x:c r="F35" s="22" t="str">
        <x:v>5.45 wt%（水/碳不计归一化）</x:v>
      </x:c>
      <x:c r="G35" s="22" t="str">
        <x:v>未知；禁止由一个采样点乘全火星面积外推</x:v>
      </x:c>
      <x:c r="H35" s="22" t="str">
        <x:v>未建立可用于本项目的已探明经济可采储量</x:v>
      </x:c>
      <x:c r="I35" s="22" t="str">
        <x:v>材料与营养元素资源线索</x:v>
      </x:c>
      <x:c r="J35" s="22" t="str">
        <x:v>不是对应纯氧化物矿藏；不能视为全部可直接分离。</x:v>
      </x:c>
      <x:c r="K35" s="22" t="str">
        <x:v>https://mars.nasa.gov/files/msl/Science-2013-Meslin-.pdf</x:v>
      </x:c>
    </x:row>
    <x:row r="36" ht="65" customHeight="1">
      <x:c r="A36" s="22" t="str">
        <x:v>B13</x:v>
      </x:c>
      <x:c r="B36" s="22" t="str">
        <x:v>局部整体岩土化学</x:v>
      </x:c>
      <x:c r="C36" s="22" t="str">
        <x:v>Cl元素含量（氧化物等效）</x:v>
      </x:c>
      <x:c r="D36" s="22" t="str">
        <x:v>Cl</x:v>
      </x:c>
      <x:c r="E36" s="22" t="str">
        <x:v>Portage APXS局部实测</x:v>
      </x:c>
      <x:c r="F36" s="22" t="str">
        <x:v>0.69 wt%（水/碳不计归一化）</x:v>
      </x:c>
      <x:c r="G36" s="22" t="str">
        <x:v>未知；禁止由一个采样点乘全火星面积外推</x:v>
      </x:c>
      <x:c r="H36" s="22" t="str">
        <x:v>未建立可用于本项目的已探明经济可采储量</x:v>
      </x:c>
      <x:c r="I36" s="22" t="str">
        <x:v>材料与营养元素资源线索</x:v>
      </x:c>
      <x:c r="J36" s="22" t="str">
        <x:v>不是对应纯氧化物矿藏；不能视为全部可直接分离。</x:v>
      </x:c>
      <x:c r="K36" s="22" t="str">
        <x:v>https://mars.nasa.gov/files/msl/Science-2013-Meslin-.pdf</x:v>
      </x:c>
    </x:row>
    <x:row r="37" ht="65" customHeight="1">
      <x:c r="A37" s="22" t="str">
        <x:v>M01</x:v>
      </x:c>
      <x:c r="B37" s="22" t="str">
        <x:v>矿物/岩石</x:v>
      </x:c>
      <x:c r="C37" s="22" t="str">
        <x:v>玄武质岩石/风化层</x:v>
      </x:c>
      <x:c r="D37" s="22" t="str">
        <x:v>混合硅酸盐</x:v>
      </x:c>
      <x:c r="E37" s="22" t="str">
        <x:v>确认</x:v>
      </x:c>
      <x:c r="F37" s="22" t="str">
        <x:v>广泛存在；无一个通用wt%</x:v>
      </x:c>
      <x:c r="G37" s="22" t="str">
        <x:v>未知</x:v>
      </x:c>
      <x:c r="H37" s="22" t="str">
        <x:v>未建立可用于本项目的已探明经济可采储量</x:v>
      </x:c>
      <x:c r="I37" s="22" t="str">
        <x:v>骨料、烧结、陶瓷、玄武岩棉</x:v>
      </x:c>
      <x:c r="J37" s="22" t="str">
        <x:v>矿物清单与整体岩土化学表描述可能为同一物质；禁止重复记账。</x:v>
      </x:c>
      <x:c r="K37" s="22" t="str">
        <x:v>https://mars.nasa.gov/files/msl/Science-2013-Meslin-.pdf
https://mars.nasa.gov/files/msl/Science-2013-Bish-.pdf</x:v>
      </x:c>
    </x:row>
    <x:row r="38" ht="65" customHeight="1">
      <x:c r="A38" s="22" t="str">
        <x:v>M02</x:v>
      </x:c>
      <x:c r="B38" s="22" t="str">
        <x:v>矿物/岩石</x:v>
      </x:c>
      <x:c r="C38" s="22" t="str">
        <x:v>斜长石</x:v>
      </x:c>
      <x:c r="D38" s="22" t="str">
        <x:v>(Na,Ca)(Al,Si)4O8</x:v>
      </x:c>
      <x:c r="E38" s="22" t="str">
        <x:v>确认</x:v>
      </x:c>
      <x:c r="F38" s="22" t="str">
        <x:v>Rocknest晶体部分40.8%</x:v>
      </x:c>
      <x:c r="G38" s="22" t="str">
        <x:v>未知</x:v>
      </x:c>
      <x:c r="H38" s="22" t="str">
        <x:v>未建立可用于本项目的已探明经济可采储量</x:v>
      </x:c>
      <x:c r="I38" s="22" t="str">
        <x:v>铝/硅/钙/钠候选原料</x:v>
      </x:c>
      <x:c r="J38" s="22" t="str">
        <x:v>矿物清单与整体岩土化学表描述可能为同一物质；禁止重复记账。</x:v>
      </x:c>
      <x:c r="K38" s="22" t="str">
        <x:v>https://mars.nasa.gov/files/msl/Science-2013-Bish-.pdf</x:v>
      </x:c>
    </x:row>
    <x:row r="39" ht="65" customHeight="1">
      <x:c r="A39" s="22" t="str">
        <x:v>M03</x:v>
      </x:c>
      <x:c r="B39" s="22" t="str">
        <x:v>矿物/岩石</x:v>
      </x:c>
      <x:c r="C39" s="22" t="str">
        <x:v>橄榄石</x:v>
      </x:c>
      <x:c r="D39" s="22" t="str">
        <x:v>(Mg,Fe)2SiO4</x:v>
      </x:c>
      <x:c r="E39" s="22" t="str">
        <x:v>确认</x:v>
      </x:c>
      <x:c r="F39" s="22" t="str">
        <x:v>Rocknest晶体部分22.4%</x:v>
      </x:c>
      <x:c r="G39" s="22" t="str">
        <x:v>未知</x:v>
      </x:c>
      <x:c r="H39" s="22" t="str">
        <x:v>未建立可用于本项目的已探明经济可采储量</x:v>
      </x:c>
      <x:c r="I39" s="22" t="str">
        <x:v>镁/铁/硅候选原料</x:v>
      </x:c>
      <x:c r="J39" s="22" t="str">
        <x:v>矿物清单与整体岩土化学表描述可能为同一物质；禁止重复记账。</x:v>
      </x:c>
      <x:c r="K39" s="22" t="str">
        <x:v>https://mars.nasa.gov/files/msl/Science-2013-Bish-.pdf</x:v>
      </x:c>
    </x:row>
    <x:row r="40" ht="65" customHeight="1">
      <x:c r="A40" s="22" t="str">
        <x:v>M04</x:v>
      </x:c>
      <x:c r="B40" s="22" t="str">
        <x:v>矿物/岩石</x:v>
      </x:c>
      <x:c r="C40" s="22" t="str">
        <x:v>辉石（普通辉石/易变辉石）</x:v>
      </x:c>
      <x:c r="D40" s="22" t="str">
        <x:v>复杂Mg/Fe/Ca硅酸盐</x:v>
      </x:c>
      <x:c r="E40" s="22" t="str">
        <x:v>确认</x:v>
      </x:c>
      <x:c r="F40" s="22" t="str">
        <x:v>Rocknest晶体部分14.6%/13.8%</x:v>
      </x:c>
      <x:c r="G40" s="22" t="str">
        <x:v>未知</x:v>
      </x:c>
      <x:c r="H40" s="22" t="str">
        <x:v>未建立可用于本项目的已探明经济可采储量</x:v>
      </x:c>
      <x:c r="I40" s="22" t="str">
        <x:v>材料原料</x:v>
      </x:c>
      <x:c r="J40" s="22" t="str">
        <x:v>矿物清单与整体岩土化学表描述可能为同一物质；禁止重复记账。</x:v>
      </x:c>
      <x:c r="K40" s="22" t="str">
        <x:v>https://mars.nasa.gov/files/msl/Science-2013-Bish-.pdf</x:v>
      </x:c>
    </x:row>
    <x:row r="41" ht="65" customHeight="1">
      <x:c r="A41" s="22" t="str">
        <x:v>M05</x:v>
      </x:c>
      <x:c r="B41" s="22" t="str">
        <x:v>矿物/岩石</x:v>
      </x:c>
      <x:c r="C41" s="22" t="str">
        <x:v>磁铁矿</x:v>
      </x:c>
      <x:c r="D41" s="22" t="str">
        <x:v>Fe3O4</x:v>
      </x:c>
      <x:c r="E41" s="22" t="str">
        <x:v>确认</x:v>
      </x:c>
      <x:c r="F41" s="22" t="str">
        <x:v>Rocknest晶体部分2.1%</x:v>
      </x:c>
      <x:c r="G41" s="22" t="str">
        <x:v>未知</x:v>
      </x:c>
      <x:c r="H41" s="22" t="str">
        <x:v>未建立可用于本项目的已探明经济可采储量</x:v>
      </x:c>
      <x:c r="I41" s="22" t="str">
        <x:v>选矿与铁源候选</x:v>
      </x:c>
      <x:c r="J41" s="22" t="str">
        <x:v>矿物清单与整体岩土化学表描述可能为同一物质；禁止重复记账。</x:v>
      </x:c>
      <x:c r="K41" s="22" t="str">
        <x:v>https://mars.nasa.gov/files/msl/Science-2013-Bish-.pdf</x:v>
      </x:c>
    </x:row>
    <x:row r="42" ht="65" customHeight="1">
      <x:c r="A42" s="22" t="str">
        <x:v>M06</x:v>
      </x:c>
      <x:c r="B42" s="22" t="str">
        <x:v>矿物/岩石</x:v>
      </x:c>
      <x:c r="C42" s="22" t="str">
        <x:v>赤铁矿及其他铁氧化物</x:v>
      </x:c>
      <x:c r="D42" s="22" t="str">
        <x:v>Fe2O3等</x:v>
      </x:c>
      <x:c r="E42" s="22" t="str">
        <x:v>确认</x:v>
      </x:c>
      <x:c r="F42" s="22" t="str">
        <x:v>局地富集；Rocknest拟合少量接近检出限</x:v>
      </x:c>
      <x:c r="G42" s="22" t="str">
        <x:v>未知</x:v>
      </x:c>
      <x:c r="H42" s="22" t="str">
        <x:v>未建立可用于本项目的已探明经济可采储量</x:v>
      </x:c>
      <x:c r="I42" s="22" t="str">
        <x:v>铁源候选</x:v>
      </x:c>
      <x:c r="J42" s="22" t="str">
        <x:v>矿物清单与整体岩土化学表描述可能为同一物质；禁止重复记账。</x:v>
      </x:c>
      <x:c r="K42" s="22" t="str">
        <x:v>https://mars.nasa.gov/files/msl/Science-2013-Bish-.pdf</x:v>
      </x:c>
    </x:row>
    <x:row r="43" ht="65" customHeight="1">
      <x:c r="A43" s="22" t="str">
        <x:v>M07</x:v>
      </x:c>
      <x:c r="B43" s="22" t="str">
        <x:v>矿物/岩石</x:v>
      </x:c>
      <x:c r="C43" s="22" t="str">
        <x:v>二氧化硅富集物</x:v>
      </x:c>
      <x:c r="D43" s="22" t="str">
        <x:v>SiO2·nH2O/非晶SiO2</x:v>
      </x:c>
      <x:c r="E43" s="22" t="str">
        <x:v>确认</x:v>
      </x:c>
      <x:c r="F43" s="22" t="str">
        <x:v>Spirit局部样品约90% SiO2</x:v>
      </x:c>
      <x:c r="G43" s="22" t="str">
        <x:v>未知</x:v>
      </x:c>
      <x:c r="H43" s="22" t="str">
        <x:v>未建立可用于本项目的已探明经济可采储量</x:v>
      </x:c>
      <x:c r="I43" s="22" t="str">
        <x:v>玻璃、硅原料候选</x:v>
      </x:c>
      <x:c r="J43" s="22" t="str">
        <x:v>矿物清单与整体岩土化学表描述可能为同一物质；禁止重复记账。</x:v>
      </x:c>
      <x:c r="K43" s="22" t="str">
        <x:v>https://science.nasa.gov/photojournal/silica-rich-soil-found-by-spirit/</x:v>
      </x:c>
    </x:row>
    <x:row r="44" ht="65" customHeight="1">
      <x:c r="A44" s="22" t="str">
        <x:v>M08</x:v>
      </x:c>
      <x:c r="B44" s="22" t="str">
        <x:v>矿物/岩石</x:v>
      </x:c>
      <x:c r="C44" s="22" t="str">
        <x:v>石英/钛铁矿/透长石</x:v>
      </x:c>
      <x:c r="D44" s="22" t="str">
        <x:v>SiO2/FeTiO3/KAlSi3O8</x:v>
      </x:c>
      <x:c r="E44" s="22" t="str">
        <x:v>拟合或局部检出；部分近检测限</x:v>
      </x:c>
      <x:c r="F44" s="22" t="str">
        <x:v>Rocknest晶体部分拟合1.4%/0.9%/1.3%</x:v>
      </x:c>
      <x:c r="G44" s="22" t="str">
        <x:v>未知</x:v>
      </x:c>
      <x:c r="H44" s="22" t="str">
        <x:v>未建立可用于本项目的已探明经济可采储量</x:v>
      </x:c>
      <x:c r="I44" s="22" t="str">
        <x:v>石英、钛、钾候选</x:v>
      </x:c>
      <x:c r="J44" s="22" t="str">
        <x:v>矿物清单与整体岩土化学表描述可能为同一物质；禁止重复记账。</x:v>
      </x:c>
      <x:c r="K44" s="22" t="str">
        <x:v>https://mars.nasa.gov/files/msl/Science-2013-Bish-.pdf</x:v>
      </x:c>
    </x:row>
    <x:row r="45" ht="65" customHeight="1">
      <x:c r="A45" s="22" t="str">
        <x:v>M09</x:v>
      </x:c>
      <x:c r="B45" s="22" t="str">
        <x:v>矿物/岩石</x:v>
      </x:c>
      <x:c r="C45" s="22" t="str">
        <x:v>非晶和低结晶相</x:v>
      </x:c>
      <x:c r="D45" s="22" t="str">
        <x:v>多种混合相</x:v>
      </x:c>
      <x:c r="E45" s="22" t="str">
        <x:v>确认但组分不唯一</x:v>
      </x:c>
      <x:c r="F45" s="22" t="str">
        <x:v>Rocknest整体约27 wt%，不确定度较大</x:v>
      </x:c>
      <x:c r="G45" s="22" t="str">
        <x:v>未知</x:v>
      </x:c>
      <x:c r="H45" s="22" t="str">
        <x:v>未建立可用于本项目的已探明经济可采储量</x:v>
      </x:c>
      <x:c r="I45" s="22" t="str">
        <x:v>水和多元素来源线索</x:v>
      </x:c>
      <x:c r="J45" s="22" t="str">
        <x:v>矿物清单与整体岩土化学表描述可能为同一物质；禁止重复记账。</x:v>
      </x:c>
      <x:c r="K45" s="22" t="str">
        <x:v>https://mars.nasa.gov/files/msl/Science-2013-Bish-.pdf</x:v>
      </x:c>
    </x:row>
    <x:row r="46" ht="65" customHeight="1">
      <x:c r="A46" s="22" t="str">
        <x:v>M10</x:v>
      </x:c>
      <x:c r="B46" s="22" t="str">
        <x:v>矿物/岩石</x:v>
      </x:c>
      <x:c r="C46" s="22" t="str">
        <x:v>黏土/层状硅酸盐</x:v>
      </x:c>
      <x:c r="D46" s="22" t="str">
        <x:v>蒙脱石等</x:v>
      </x:c>
      <x:c r="E46" s="22" t="str">
        <x:v>轨道/局部观测支持</x:v>
      </x:c>
      <x:c r="F46" s="22" t="str">
        <x:v>区域性；不是所有风化层都有</x:v>
      </x:c>
      <x:c r="G46" s="22" t="str">
        <x:v>未知</x:v>
      </x:c>
      <x:c r="H46" s="22" t="str">
        <x:v>未建立可用于本项目的已探明经济可采储量</x:v>
      </x:c>
      <x:c r="I46" s="22" t="str">
        <x:v>吸附材料、硅铝源</x:v>
      </x:c>
      <x:c r="J46" s="22" t="str">
        <x:v>矿物清单与整体岩土化学表描述可能为同一物质；禁止重复记账。</x:v>
      </x:c>
      <x:c r="K46" s="22" t="str">
        <x:v>https://mars.nasa.gov/files/msl/Science-2013-Bish-.pdf</x:v>
      </x:c>
    </x:row>
    <x:row r="47" ht="65" customHeight="1">
      <x:c r="A47" s="22" t="str">
        <x:v>M11</x:v>
      </x:c>
      <x:c r="B47" s="22" t="str">
        <x:v>矿物/岩石</x:v>
      </x:c>
      <x:c r="C47" s="22" t="str">
        <x:v>石膏/半水石膏/硬石膏</x:v>
      </x:c>
      <x:c r="D47" s="22" t="str">
        <x:v>CaSO4·2H2O等</x:v>
      </x:c>
      <x:c r="E47" s="22" t="str">
        <x:v>确认</x:v>
      </x:c>
      <x:c r="F47" s="22" t="str">
        <x:v>区域性；无全球平均矿石品位</x:v>
      </x:c>
      <x:c r="G47" s="22" t="str">
        <x:v>未知</x:v>
      </x:c>
      <x:c r="H47" s="22" t="str">
        <x:v>未建立可用于本项目的已探明经济可采储量</x:v>
      </x:c>
      <x:c r="I47" s="22" t="str">
        <x:v>钙硫肥、胶结材料、水</x:v>
      </x:c>
      <x:c r="J47" s="22" t="str">
        <x:v>矿物清单与整体岩土化学表描述可能为同一物质；禁止重复记账。</x:v>
      </x:c>
      <x:c r="K47" s="22" t="str">
        <x:v>https://www.nasa.gov/missions/mars-science-laboratory/curiosity-rover/nasas-curiosity-mars-rover-reaches-long-awaited-salty-region/</x:v>
      </x:c>
    </x:row>
    <x:row r="48" ht="65" customHeight="1">
      <x:c r="A48" s="22" t="str">
        <x:v>M12</x:v>
      </x:c>
      <x:c r="B48" s="22" t="str">
        <x:v>矿物/岩石</x:v>
      </x:c>
      <x:c r="C48" s="22" t="str">
        <x:v>含水硫酸镁矿物</x:v>
      </x:c>
      <x:c r="D48" s="22" t="str">
        <x:v>MgSO4·nH2O</x:v>
      </x:c>
      <x:c r="E48" s="22" t="str">
        <x:v>确认</x:v>
      </x:c>
      <x:c r="F48" s="22" t="str">
        <x:v>区域性；水合态不同</x:v>
      </x:c>
      <x:c r="G48" s="22" t="str">
        <x:v>未知</x:v>
      </x:c>
      <x:c r="H48" s="22" t="str">
        <x:v>未建立可用于本项目的已探明经济可采储量</x:v>
      </x:c>
      <x:c r="I48" s="22" t="str">
        <x:v>镁硫肥、水</x:v>
      </x:c>
      <x:c r="J48" s="22" t="str">
        <x:v>矿物清单与整体岩土化学表描述可能为同一物质；禁止重复记账。</x:v>
      </x:c>
      <x:c r="K48" s="22" t="str">
        <x:v>https://www.nasa.gov/missions/mars-science-laboratory/curiosity-rover/nasas-curiosity-mars-rover-reaches-long-awaited-salty-region/</x:v>
      </x:c>
    </x:row>
    <x:row r="49" ht="65" customHeight="1">
      <x:c r="A49" s="22" t="str">
        <x:v>M13</x:v>
      </x:c>
      <x:c r="B49" s="22" t="str">
        <x:v>矿物/岩石</x:v>
      </x:c>
      <x:c r="C49" s="22" t="str">
        <x:v>黄钾铁矾/含铁硫酸盐</x:v>
      </x:c>
      <x:c r="D49" s="22" t="str">
        <x:v>KFe3(SO4)2(OH)6等</x:v>
      </x:c>
      <x:c r="E49" s="22" t="str">
        <x:v>已报告矿物类别</x:v>
      </x:c>
      <x:c r="F49" s="22" t="str">
        <x:v>局部；不设定全球品位</x:v>
      </x:c>
      <x:c r="G49" s="22" t="str">
        <x:v>未知</x:v>
      </x:c>
      <x:c r="H49" s="22" t="str">
        <x:v>未建立可用于本项目的已探明经济可采储量</x:v>
      </x:c>
      <x:c r="I49" s="22" t="str">
        <x:v>硫/铁/钾候选</x:v>
      </x:c>
      <x:c r="J49" s="22" t="str">
        <x:v>矿物清单与整体岩土化学表描述可能为同一物质；禁止重复记账。</x:v>
      </x:c>
      <x:c r="K49" s="22" t="str">
        <x:v>https://www.nasa.gov/wp-content/uploads/2015/03/nac_tie_december_2018_gsanders_isru.pdf</x:v>
      </x:c>
    </x:row>
    <x:row r="50" ht="65" customHeight="1">
      <x:c r="A50" s="22" t="str">
        <x:v>M14</x:v>
      </x:c>
      <x:c r="B50" s="22" t="str">
        <x:v>矿物/岩石</x:v>
      </x:c>
      <x:c r="C50" s="22" t="str">
        <x:v>氯化钠/含氯盐</x:v>
      </x:c>
      <x:c r="D50" s="22" t="str">
        <x:v>NaCl等</x:v>
      </x:c>
      <x:c r="E50" s="22" t="str">
        <x:v>确认/区域性</x:v>
      </x:c>
      <x:c r="F50" s="22" t="str">
        <x:v>无统一工业品位</x:v>
      </x:c>
      <x:c r="G50" s="22" t="str">
        <x:v>未知</x:v>
      </x:c>
      <x:c r="H50" s="22" t="str">
        <x:v>未建立可用于本项目的已探明经济可采储量</x:v>
      </x:c>
      <x:c r="I50" s="22" t="str">
        <x:v>氯碱化工、盐</x:v>
      </x:c>
      <x:c r="J50" s="22" t="str">
        <x:v>矿物清单与整体岩土化学表描述可能为同一物质；禁止重复记账。</x:v>
      </x:c>
      <x:c r="K50" s="22" t="str">
        <x:v>https://www.nasa.gov/missions/mars-science-laboratory/curiosity-rover/nasas-curiosity-mars-rover-reaches-long-awaited-salty-region/</x:v>
      </x:c>
    </x:row>
    <x:row r="51" ht="65" customHeight="1">
      <x:c r="A51" s="22" t="str">
        <x:v>M15</x:v>
      </x:c>
      <x:c r="B51" s="22" t="str">
        <x:v>矿物/岩石</x:v>
      </x:c>
      <x:c r="C51" s="22" t="str">
        <x:v>高氯酸盐/氯酸盐</x:v>
      </x:c>
      <x:c r="D51" s="22" t="str">
        <x:v>ClO4-/ClO3-盐</x:v>
      </x:c>
      <x:c r="E51" s="22" t="str">
        <x:v>确认；物种区分有局限</x:v>
      </x:c>
      <x:c r="F51" s="22" t="str">
        <x:v>Phoenix约0.5 wt%高氯酸盐</x:v>
      </x:c>
      <x:c r="G51" s="22" t="str">
        <x:v>未知</x:v>
      </x:c>
      <x:c r="H51" s="22" t="str">
        <x:v>未建立可用于本项目的已探明经济可采储量</x:v>
      </x:c>
      <x:c r="I51" s="22" t="str">
        <x:v>优先作为污染物；不作肥料或默认氧源</x:v>
      </x:c>
      <x:c r="J51" s="22" t="str">
        <x:v>矿物清单与整体岩土化学表描述可能为同一物质；禁止重复记账。</x:v>
      </x:c>
      <x:c r="K51" s="22" t="str">
        <x:v>https://ntrs.nasa.gov/citations/20190028297</x:v>
      </x:c>
    </x:row>
    <x:row r="52" ht="65" customHeight="1">
      <x:c r="A52" s="22" t="str">
        <x:v>M16</x:v>
      </x:c>
      <x:c r="B52" s="22" t="str">
        <x:v>矿物/岩石</x:v>
      </x:c>
      <x:c r="C52" s="22" t="str">
        <x:v>硝酸盐</x:v>
      </x:c>
      <x:c r="D52" s="22" t="str">
        <x:v>NO3-盐</x:v>
      </x:c>
      <x:c r="E52" s="22" t="str">
        <x:v>热解释放气体推断支持</x:v>
      </x:c>
      <x:c r="F52" s="22" t="str">
        <x:v>钻孔样品最高约1100ppm硝酸盐当量</x:v>
      </x:c>
      <x:c r="G52" s="22" t="str">
        <x:v>未知</x:v>
      </x:c>
      <x:c r="H52" s="22" t="str">
        <x:v>未建立可用于本项目的已探明经济可采储量</x:v>
      </x:c>
      <x:c r="I52" s="22" t="str">
        <x:v>备选氮源；首版优先大气N2</x:v>
      </x:c>
      <x:c r="J52" s="22" t="str">
        <x:v>矿物清单与整体岩土化学表描述可能为同一物质；禁止重复记账。</x:v>
      </x:c>
      <x:c r="K52" s="22" t="str">
        <x:v>https://www.nasa.gov/solar-system/nasas-curiosity-rover-finds-biologically-useful-nitrogen-on-mars/</x:v>
      </x:c>
    </x:row>
    <x:row r="53" ht="65" customHeight="1">
      <x:c r="A53" s="22" t="str">
        <x:v>M17</x:v>
      </x:c>
      <x:c r="B53" s="22" t="str">
        <x:v>矿物/岩石</x:v>
      </x:c>
      <x:c r="C53" s="22" t="str">
        <x:v>磷酸盐/磷灰石类载磷相</x:v>
      </x:c>
      <x:c r="D53" s="22" t="str">
        <x:v>Ca5(PO4)3(F,Cl,OH)等</x:v>
      </x:c>
      <x:c r="E53" s="22" t="str">
        <x:v>元素与矿物学证据；矿床未定</x:v>
      </x:c>
      <x:c r="F53" s="22" t="str">
        <x:v>Gale局部P2O5 1.5—7.5 wt%；基岩中值0.9—1.2%</x:v>
      </x:c>
      <x:c r="G53" s="22" t="str">
        <x:v>未知</x:v>
      </x:c>
      <x:c r="H53" s="22" t="str">
        <x:v>未建立可用于本项目的已探明经济可采储量</x:v>
      </x:c>
      <x:c r="I53" s="22" t="str">
        <x:v>磷肥/掺杂源候选</x:v>
      </x:c>
      <x:c r="J53" s="22" t="str">
        <x:v>矿物清单与整体岩土化学表描述可能为同一物质；禁止重复记账。</x:v>
      </x:c>
      <x:c r="K53" s="22" t="str">
        <x:v>https://ntrs.nasa.gov/citations/20220018673</x:v>
      </x:c>
    </x:row>
    <x:row r="54" ht="65" customHeight="1">
      <x:c r="A54" s="22" t="str">
        <x:v>M18</x:v>
      </x:c>
      <x:c r="B54" s="22" t="str">
        <x:v>矿物/岩石</x:v>
      </x:c>
      <x:c r="C54" s="22" t="str">
        <x:v>碳酸盐：菱镁矿/方解石类</x:v>
      </x:c>
      <x:c r="D54" s="22" t="str">
        <x:v>MgCO3/CaCO3</x:v>
      </x:c>
      <x:c r="E54" s="22" t="str">
        <x:v>有证据</x:v>
      </x:c>
      <x:c r="F54" s="22" t="str">
        <x:v>无统一品位；不等同大规模纯石灰石矿</x:v>
      </x:c>
      <x:c r="G54" s="22" t="str">
        <x:v>未知</x:v>
      </x:c>
      <x:c r="H54" s="22" t="str">
        <x:v>未建立可用于本项目的已探明经济可采储量</x:v>
      </x:c>
      <x:c r="I54" s="22" t="str">
        <x:v>钙/镁和化工候选</x:v>
      </x:c>
      <x:c r="J54" s="22" t="str">
        <x:v>矿物清单与整体岩土化学表描述可能为同一物质；禁止重复记账。</x:v>
      </x:c>
      <x:c r="K54" s="22" t="str">
        <x:v>https://ntrs.nasa.gov/citations/20090011357</x:v>
      </x:c>
    </x:row>
    <x:row r="55" ht="65" customHeight="1">
      <x:c r="A55" s="22" t="str">
        <x:v>M19</x:v>
      </x:c>
      <x:c r="B55" s="22" t="str">
        <x:v>矿物/岩石</x:v>
      </x:c>
      <x:c r="C55" s="22" t="str">
        <x:v>菱铁矿</x:v>
      </x:c>
      <x:c r="D55" s="22" t="str">
        <x:v>FeCO3</x:v>
      </x:c>
      <x:c r="E55" s="22" t="str">
        <x:v>2025研究确认</x:v>
      </x:c>
      <x:c r="F55" s="22" t="str">
        <x:v>局部；不外推全部硫酸盐地层</x:v>
      </x:c>
      <x:c r="G55" s="22" t="str">
        <x:v>未知</x:v>
      </x:c>
      <x:c r="H55" s="22" t="str">
        <x:v>未建立可用于本项目的已探明经济可采储量</x:v>
      </x:c>
      <x:c r="I55" s="22" t="str">
        <x:v>铁/碳来源候选</x:v>
      </x:c>
      <x:c r="J55" s="22" t="str">
        <x:v>矿物清单与整体岩土化学表描述可能为同一物质；禁止重复记账。</x:v>
      </x:c>
      <x:c r="K55" s="22" t="str">
        <x:v>https://www.nasa.gov/centers-and-facilities/ames/nasas-curiosity-rover-may-have-solved-mars-missing-carbonate-mystery/</x:v>
      </x:c>
    </x:row>
    <x:row r="56" ht="65" customHeight="1">
      <x:c r="A56" s="22" t="str">
        <x:v>M20</x:v>
      </x:c>
      <x:c r="B56" s="22" t="str">
        <x:v>矿物/岩石</x:v>
      </x:c>
      <x:c r="C56" s="22" t="str">
        <x:v>天然单质硫</x:v>
      </x:c>
      <x:c r="D56" s="22" t="str">
        <x:v>S</x:v>
      </x:c>
      <x:c r="E56" s="22" t="str">
        <x:v>2024原位确认</x:v>
      </x:c>
      <x:c r="F56" s="22" t="str">
        <x:v>局部纯硫晶体/岩石；没有总体矿石品位</x:v>
      </x:c>
      <x:c r="G56" s="22" t="str">
        <x:v>未知</x:v>
      </x:c>
      <x:c r="H56" s="22" t="str">
        <x:v>未建立可用于本项目的已探明经济可采储量</x:v>
      </x:c>
      <x:c r="I56" s="22" t="str">
        <x:v>硫酸/硫肥原料候选</x:v>
      </x:c>
      <x:c r="J56" s="22" t="str">
        <x:v>矿物清单与整体岩土化学表描述可能为同一物质；禁止重复记账。</x:v>
      </x:c>
      <x:c r="K56" s="22" t="str">
        <x:v>https://www.nasa.gov/missions/mars-science-laboratory/curiosity-rover/nasas-curiosity-rover-discovers-a-surprise-in-a-martian-rock/</x:v>
      </x:c>
    </x:row>
    <x:row r="57" ht="65" customHeight="1">
      <x:c r="A57" s="22" t="str">
        <x:v>M21</x:v>
      </x:c>
      <x:c r="B57" s="22" t="str">
        <x:v>矿物/岩石</x:v>
      </x:c>
      <x:c r="C57" s="22" t="str">
        <x:v>含硼矿脉</x:v>
      </x:c>
      <x:c r="D57" s="22" t="str">
        <x:v>含B的硫酸钙矿脉</x:v>
      </x:c>
      <x:c r="E57" s="22" t="str">
        <x:v>确认</x:v>
      </x:c>
      <x:c r="F57" s="22" t="str">
        <x:v>2016 Catabola局部B&lt;0.1 wt%</x:v>
      </x:c>
      <x:c r="G57" s="22" t="str">
        <x:v>未知</x:v>
      </x:c>
      <x:c r="H57" s="22" t="str">
        <x:v>未建立可用于本项目的已探明经济可采储量</x:v>
      </x:c>
      <x:c r="I57" s="22" t="str">
        <x:v>微量肥/硅掺杂线索</x:v>
      </x:c>
      <x:c r="J57" s="22" t="str">
        <x:v>矿物清单与整体岩土化学表描述可能为同一物质；禁止重复记账。</x:v>
      </x:c>
      <x:c r="K57" s="22" t="str">
        <x:v>https://science.nasa.gov/resource/boron-in-calcium-sulfate-vein-at-catabola-mars</x:v>
      </x:c>
    </x:row>
    <x:row r="58" ht="65" customHeight="1">
      <x:c r="A58" s="22" t="str">
        <x:v>M22</x:v>
      </x:c>
      <x:c r="B58" s="22" t="str">
        <x:v>矿物/岩石</x:v>
      </x:c>
      <x:c r="C58" s="22" t="str">
        <x:v>锰氧化物</x:v>
      </x:c>
      <x:c r="D58" s="22" t="str">
        <x:v>MnOx</x:v>
      </x:c>
      <x:c r="E58" s="22" t="str">
        <x:v>确认</x:v>
      </x:c>
      <x:c r="F58" s="22" t="str">
        <x:v>局部富集；无可采储量</x:v>
      </x:c>
      <x:c r="G58" s="22" t="str">
        <x:v>未知</x:v>
      </x:c>
      <x:c r="H58" s="22" t="str">
        <x:v>未建立可用于本项目的已探明经济可采储量</x:v>
      </x:c>
      <x:c r="I58" s="22" t="str">
        <x:v>合金/微量营养线索</x:v>
      </x:c>
      <x:c r="J58" s="22" t="str">
        <x:v>矿物清单与整体岩土化学表描述可能为同一物质；禁止重复记账。</x:v>
      </x:c>
      <x:c r="K58" s="22" t="str">
        <x:v>https://www.jpl.nasa.gov/news/nasa-rover-findings-point-to-a-more-earth-like-martian-past/</x:v>
      </x:c>
    </x:row>
    <x:row r="59" ht="65" customHeight="1">
      <x:c r="A59" s="22" t="str">
        <x:v>M23</x:v>
      </x:c>
      <x:c r="B59" s="22" t="str">
        <x:v>矿物/岩石</x:v>
      </x:c>
      <x:c r="C59" s="22" t="str">
        <x:v>镍、锌、铬等微量元素载体</x:v>
      </x:c>
      <x:c r="D59" s="22" t="str">
        <x:v>多种矿相</x:v>
      </x:c>
      <x:c r="E59" s="22" t="str">
        <x:v>检测/陨石研究支持；矿相不全明确</x:v>
      </x:c>
      <x:c r="F59" s="22" t="str">
        <x:v>不设统一可采品位</x:v>
      </x:c>
      <x:c r="G59" s="22" t="str">
        <x:v>未知</x:v>
      </x:c>
      <x:c r="H59" s="22" t="str">
        <x:v>未建立可用于本项目的已探明经济可采储量</x:v>
      </x:c>
      <x:c r="I59" s="22" t="str">
        <x:v>合金、电池、营养等候选</x:v>
      </x:c>
      <x:c r="J59" s="22" t="str">
        <x:v>矿物清单与整体岩土化学表描述可能为同一物质；禁止重复记账。</x:v>
      </x:c>
      <x:c r="K59" s="22" t="str">
        <x:v>https://mars.nasa.gov/files/msl/Science-2013-Meslin-.pdf
https://science.nasa.gov/mission/odyssey/science-instruments/</x:v>
      </x:c>
    </x:row>
    <x:row r="60" ht="65" customHeight="1">
      <x:c r="A60" s="22" t="str">
        <x:v>M24</x:v>
      </x:c>
      <x:c r="B60" s="22" t="str">
        <x:v>矿物/岩石</x:v>
      </x:c>
      <x:c r="C60" s="22" t="str">
        <x:v>钍及其他放射性元素载体</x:v>
      </x:c>
      <x:c r="D60" s="22" t="str">
        <x:v>Th/U等</x:v>
      </x:c>
      <x:c r="E60" s="22" t="str">
        <x:v>Th有轨道测量；U矿床未确认</x:v>
      </x:c>
      <x:c r="F60" s="22" t="str">
        <x:v>早期Th平均估计约1.1ppm；非矿石品位</x:v>
      </x:c>
      <x:c r="G60" s="22" t="str">
        <x:v>未知</x:v>
      </x:c>
      <x:c r="H60" s="22" t="str">
        <x:v>未建立可用于本项目的已探明经济可采储量</x:v>
      </x:c>
      <x:c r="I60" s="22" t="str">
        <x:v>远期研究，不作为首版燃料</x:v>
      </x:c>
      <x:c r="J60" s="22" t="str">
        <x:v>矿物清单与整体岩土化学表描述可能为同一物质；禁止重复记账。</x:v>
      </x:c>
      <x:c r="K60" s="22" t="str">
        <x:v>https://ntrs.nasa.gov/citations/20030066640</x:v>
      </x:c>
    </x:row>
    <x:row r="61" ht="65" customHeight="1">
      <x:c r="A61" s="22" t="str">
        <x:v>M25</x:v>
      </x:c>
      <x:c r="B61" s="22" t="str">
        <x:v>矿物/岩石</x:v>
      </x:c>
      <x:c r="C61" s="22" t="str">
        <x:v>天然有机碳/有机分子前体</x:v>
      </x:c>
      <x:c r="D61" s="22" t="str">
        <x:v>多种有机化合物</x:v>
      </x:c>
      <x:c r="E61" s="22" t="str">
        <x:v>已检测；原始分子受热解解释影响</x:v>
      </x:c>
      <x:c r="F61" s="22" t="str">
        <x:v>痕量；无工业级丰度</x:v>
      </x:c>
      <x:c r="G61" s="22" t="str">
        <x:v>未知</x:v>
      </x:c>
      <x:c r="H61" s="22" t="str">
        <x:v>未建立可用于本项目的已探明经济可采储量</x:v>
      </x:c>
      <x:c r="I61" s="22" t="str">
        <x:v>不作为石油/聚合物大宗原料</x:v>
      </x:c>
      <x:c r="J61" s="22" t="str">
        <x:v>矿物清单与整体岩土化学表描述可能为同一物质；禁止重复记账。</x:v>
      </x:c>
      <x:c r="K61" s="22" t="str">
        <x:v>https://www.nasa.gov/missions/mars-science-laboratory/curiosity-rover/nasas-curiosity-finds-organic-molecules-never-seen-before-on-mars/
https://science.nasa.gov/missions/mars-science-laboratory/nasas-curiosity-rover-detects-largest-organic-molecules-found-on-mars/</x:v>
      </x:c>
    </x:row>
    <x:row r="62" ht="65" customHeight="1">
      <x:c r="A62" s="22" t="str">
        <x:v>U01</x:v>
      </x:c>
      <x:c r="B62" s="22" t="str">
        <x:v>未证实经济矿藏/排除项</x:v>
      </x:c>
      <x:c r="C62" s="22" t="str">
        <x:v>可选钾盐矿</x:v>
      </x:c>
      <x:c r="D62" s="22" t="str">
        <x:v>KCl</x:v>
      </x:c>
      <x:c r="E62" s="22" t="str">
        <x:v>未证实可用矿床；不是断言不存在</x:v>
      </x:c>
      <x:c r="F62" s="22" t="str">
        <x:v>未知</x:v>
      </x:c>
      <x:c r="G62" s="22" t="str">
        <x:v>未知</x:v>
      </x:c>
      <x:c r="H62" s="22" t="str">
        <x:v>未建立可用于本项目的已探明经济可采储量</x:v>
      </x:c>
      <x:c r="I62" s="22" t="str">
        <x:v>钾肥/KOH</x:v>
      </x:c>
      <x:c r="J62" s="22" t="str">
        <x:v>仅情景开关；默认不能自动生成可采储量。</x:v>
      </x:c>
      <x:c r="K62" s="22" t="str">
        <x:v>本回答设定；不是文献实测</x:v>
      </x:c>
    </x:row>
    <x:row r="63" ht="65" customHeight="1">
      <x:c r="A63" s="22" t="str">
        <x:v>U02</x:v>
      </x:c>
      <x:c r="B63" s="22" t="str">
        <x:v>未证实经济矿藏/排除项</x:v>
      </x:c>
      <x:c r="C63" s="22" t="str">
        <x:v>可选铜矿</x:v>
      </x:c>
      <x:c r="D63" s="22" t="str">
        <x:v>Cu矿物；矩阵CuO等效</x:v>
      </x:c>
      <x:c r="E63" s="22" t="str">
        <x:v>未证实可用矿床；不是断言不存在</x:v>
      </x:c>
      <x:c r="F63" s="22" t="str">
        <x:v>未知</x:v>
      </x:c>
      <x:c r="G63" s="22" t="str">
        <x:v>未知</x:v>
      </x:c>
      <x:c r="H63" s="22" t="str">
        <x:v>未建立可用于本项目的已探明经济可采储量</x:v>
      </x:c>
      <x:c r="I63" s="22" t="str">
        <x:v>导线/电机</x:v>
      </x:c>
      <x:c r="J63" s="22" t="str">
        <x:v>仅情景开关；默认不能自动生成可采储量。</x:v>
      </x:c>
      <x:c r="K63" s="22" t="str">
        <x:v>本回答设定；不是文献实测</x:v>
      </x:c>
    </x:row>
    <x:row r="64" ht="65" customHeight="1">
      <x:c r="A64" s="22" t="str">
        <x:v>U03</x:v>
      </x:c>
      <x:c r="B64" s="22" t="str">
        <x:v>未证实经济矿藏/排除项</x:v>
      </x:c>
      <x:c r="C64" s="22" t="str">
        <x:v>可选镍矿</x:v>
      </x:c>
      <x:c r="D64" s="22" t="str">
        <x:v>Ni矿物；矩阵NiO等效</x:v>
      </x:c>
      <x:c r="E64" s="22" t="str">
        <x:v>未证实可用矿床；不是断言不存在</x:v>
      </x:c>
      <x:c r="F64" s="22" t="str">
        <x:v>未知</x:v>
      </x:c>
      <x:c r="G64" s="22" t="str">
        <x:v>未知</x:v>
      </x:c>
      <x:c r="H64" s="22" t="str">
        <x:v>未建立可用于本项目的已探明经济可采储量</x:v>
      </x:c>
      <x:c r="I64" s="22" t="str">
        <x:v>电池/电极/催化</x:v>
      </x:c>
      <x:c r="J64" s="22" t="str">
        <x:v>仅情景开关；默认不能自动生成可采储量。</x:v>
      </x:c>
      <x:c r="K64" s="22" t="str">
        <x:v>本回答设定；不是文献实测</x:v>
      </x:c>
    </x:row>
    <x:row r="65" ht="65" customHeight="1">
      <x:c r="A65" s="22" t="str">
        <x:v>U04</x:v>
      </x:c>
      <x:c r="B65" s="22" t="str">
        <x:v>未证实经济矿藏/排除项</x:v>
      </x:c>
      <x:c r="C65" s="22" t="str">
        <x:v>可选银矿</x:v>
      </x:c>
      <x:c r="D65" s="22" t="str">
        <x:v>Ag2S等</x:v>
      </x:c>
      <x:c r="E65" s="22" t="str">
        <x:v>未证实可用矿床；不是断言不存在</x:v>
      </x:c>
      <x:c r="F65" s="22" t="str">
        <x:v>未知</x:v>
      </x:c>
      <x:c r="G65" s="22" t="str">
        <x:v>未知</x:v>
      </x:c>
      <x:c r="H65" s="22" t="str">
        <x:v>未建立可用于本项目的已探明经济可采储量</x:v>
      </x:c>
      <x:c r="I65" s="22" t="str">
        <x:v>晶硅电池电极</x:v>
      </x:c>
      <x:c r="J65" s="22" t="str">
        <x:v>仅情景开关；默认不能自动生成可采储量。</x:v>
      </x:c>
      <x:c r="K65" s="22" t="str">
        <x:v>本回答设定；不是文献实测</x:v>
      </x:c>
    </x:row>
    <x:row r="66" ht="65" customHeight="1">
      <x:c r="A66" s="22" t="str">
        <x:v>U05</x:v>
      </x:c>
      <x:c r="B66" s="22" t="str">
        <x:v>未证实经济矿藏/排除项</x:v>
      </x:c>
      <x:c r="C66" s="22" t="str">
        <x:v>可选锡矿</x:v>
      </x:c>
      <x:c r="D66" s="22" t="str">
        <x:v>SnO2</x:v>
      </x:c>
      <x:c r="E66" s="22" t="str">
        <x:v>未证实可用矿床；不是断言不存在</x:v>
      </x:c>
      <x:c r="F66" s="22" t="str">
        <x:v>未知</x:v>
      </x:c>
      <x:c r="G66" s="22" t="str">
        <x:v>未知</x:v>
      </x:c>
      <x:c r="H66" s="22" t="str">
        <x:v>未建立可用于本项目的已探明经济可采储量</x:v>
      </x:c>
      <x:c r="I66" s="22" t="str">
        <x:v>焊料</x:v>
      </x:c>
      <x:c r="J66" s="22" t="str">
        <x:v>仅情景开关；默认不能自动生成可采储量。</x:v>
      </x:c>
      <x:c r="K66" s="22" t="str">
        <x:v>本回答设定；不是文献实测</x:v>
      </x:c>
    </x:row>
    <x:row r="67" ht="65" customHeight="1">
      <x:c r="A67" s="22" t="str">
        <x:v>U06</x:v>
      </x:c>
      <x:c r="B67" s="22" t="str">
        <x:v>未证实经济矿藏/排除项</x:v>
      </x:c>
      <x:c r="C67" s="22" t="str">
        <x:v>可选高品位铝矿</x:v>
      </x:c>
      <x:c r="D67" s="22" t="str">
        <x:v>铝硅酸盐；矩阵Al2O3等效</x:v>
      </x:c>
      <x:c r="E67" s="22" t="str">
        <x:v>未证实可用矿床；不是断言不存在</x:v>
      </x:c>
      <x:c r="F67" s="22" t="str">
        <x:v>未知</x:v>
      </x:c>
      <x:c r="G67" s="22" t="str">
        <x:v>未知</x:v>
      </x:c>
      <x:c r="H67" s="22" t="str">
        <x:v>未建立可用于本项目的已探明经济可采储量</x:v>
      </x:c>
      <x:c r="I67" s="22" t="str">
        <x:v>导体/框架</x:v>
      </x:c>
      <x:c r="J67" s="22" t="str">
        <x:v>仅情景开关；默认不能自动生成可采储量。</x:v>
      </x:c>
      <x:c r="K67" s="22" t="str">
        <x:v>本回答设定；不是文献实测</x:v>
      </x:c>
    </x:row>
    <x:row r="68" ht="65" customHeight="1">
      <x:c r="A68" s="22" t="str">
        <x:v>U07</x:v>
      </x:c>
      <x:c r="B68" s="22" t="str">
        <x:v>未证实经济矿藏/排除项</x:v>
      </x:c>
      <x:c r="C68" s="22" t="str">
        <x:v>可选硼矿/萤石矿</x:v>
      </x:c>
      <x:c r="D68" s="22" t="str">
        <x:v>硼酸盐/CaF2</x:v>
      </x:c>
      <x:c r="E68" s="22" t="str">
        <x:v>未证实可用矿床；不是断言不存在</x:v>
      </x:c>
      <x:c r="F68" s="22" t="str">
        <x:v>未知</x:v>
      </x:c>
      <x:c r="G68" s="22" t="str">
        <x:v>未知</x:v>
      </x:c>
      <x:c r="H68" s="22" t="str">
        <x:v>未建立可用于本项目的已探明经济可采储量</x:v>
      </x:c>
      <x:c r="I68" s="22" t="str">
        <x:v>掺杂/化工</x:v>
      </x:c>
      <x:c r="J68" s="22" t="str">
        <x:v>仅情景开关；默认不能自动生成可采储量。</x:v>
      </x:c>
      <x:c r="K68" s="22" t="str">
        <x:v>本回答设定；不是文献实测</x:v>
      </x:c>
    </x:row>
    <x:row r="69" ht="65" customHeight="1">
      <x:c r="A69" s="22" t="str">
        <x:v>U08</x:v>
      </x:c>
      <x:c r="B69" s="22" t="str">
        <x:v>未证实经济矿藏/排除项</x:v>
      </x:c>
      <x:c r="C69" s="22" t="str">
        <x:v>锂钴稀土及贵金属矿床</x:v>
      </x:c>
      <x:c r="D69" s="22" t="str">
        <x:v>Li/Co/REE/Pt等</x:v>
      </x:c>
      <x:c r="E69" s="22" t="str">
        <x:v>未证实可用矿床；不是断言不存在</x:v>
      </x:c>
      <x:c r="F69" s="22" t="str">
        <x:v>未知</x:v>
      </x:c>
      <x:c r="G69" s="22" t="str">
        <x:v>未知</x:v>
      </x:c>
      <x:c r="H69" s="22" t="str">
        <x:v>未建立可用于本项目的已探明经济可采储量</x:v>
      </x:c>
      <x:c r="I69" s="22" t="str">
        <x:v>备选电池、磁体、催化</x:v>
      </x:c>
      <x:c r="J69" s="22" t="str">
        <x:v>仅情景开关；默认不能自动生成可采储量。</x:v>
      </x:c>
      <x:c r="K69" s="22" t="str">
        <x:v>本回答设定；不是文献实测</x:v>
      </x:c>
    </x:row>
    <x:row r="70" ht="65" customHeight="1">
      <x:c r="A70" s="22" t="str">
        <x:v>U09</x:v>
      </x:c>
      <x:c r="B70" s="22" t="str">
        <x:v>未证实经济矿藏/排除项</x:v>
      </x:c>
      <x:c r="C70" s="22" t="str">
        <x:v>煤、石油、天然气田/天然橡胶/原生农作物</x:v>
      </x:c>
      <x:c r="D70" s="22" t="str">
        <x:v>不适用</x:v>
      </x:c>
      <x:c r="E70" s="22" t="str">
        <x:v>未证实可用矿床；不是断言不存在</x:v>
      </x:c>
      <x:c r="F70" s="22" t="str">
        <x:v>未知</x:v>
      </x:c>
      <x:c r="G70" s="22" t="str">
        <x:v>未知</x:v>
      </x:c>
      <x:c r="H70" s="22" t="str">
        <x:v>未建立可用于本项目的已探明经济可采储量</x:v>
      </x:c>
      <x:c r="I70" s="22" t="str">
        <x:v>不作为天然输入</x:v>
      </x:c>
      <x:c r="J70" s="22" t="str">
        <x:v>仅情景开关；默认不能自动生成可采储量。</x:v>
      </x:c>
      <x:c r="K70" s="22" t="str">
        <x:v>本回答设定；不是文献实测</x:v>
      </x:c>
    </x:row>
    <x:row r="71" ht="65" customHeight="1">
      <x:c r="A71" s="22" t="str">
        <x:v>EN01</x:v>
      </x:c>
      <x:c r="B71" s="22" t="str">
        <x:v>自然能量通量</x:v>
      </x:c>
      <x:c r="C71" s="22" t="str">
        <x:v>太阳辐射</x:v>
      </x:c>
      <x:c r="D71" s="22" t="str">
        <x:v>非物质</x:v>
      </x:c>
      <x:c r="E71" s="22" t="str">
        <x:v>确认</x:v>
      </x:c>
      <x:c r="F71" s="22" t="str">
        <x:v>大气外平均约590 W/m2；非地表全天均值</x:v>
      </x:c>
      <x:c r="G71" s="22" t="str">
        <x:v>不适用：是通量不是库存</x:v>
      </x:c>
      <x:c r="H71" s="22" t="str">
        <x:v>未建立可用于本项目的已探明经济可采储量</x:v>
      </x:c>
      <x:c r="I71" s="22" t="str">
        <x:v>光伏、太阳热、农业光照</x:v>
      </x:c>
      <x:c r="J71" s="22" t="str"/>
      <x:c r="K71" s="22" t="str">
        <x:v>https://ntrs.nasa.gov/citations/19910057365</x:v>
      </x:c>
    </x:row>
    <x:row r="72" ht="65" customHeight="1">
      <x:c r="A72" s="22" t="str">
        <x:v>EN02</x:v>
      </x:c>
      <x:c r="B72" s="22" t="str">
        <x:v>自然能量通量</x:v>
      </x:c>
      <x:c r="C72" s="22" t="str">
        <x:v>风能/地热</x:v>
      </x:c>
      <x:c r="D72" s="22" t="str">
        <x:v>非物质</x:v>
      </x:c>
      <x:c r="E72" s="22" t="str">
        <x:v>存在物理机制；工程潜力地点相关</x:v>
      </x:c>
      <x:c r="F72" s="22" t="str">
        <x:v>本版不设统一可用功率</x:v>
      </x:c>
      <x:c r="G72" s="22" t="str">
        <x:v>不适用</x:v>
      </x:c>
      <x:c r="H72" s="22" t="str">
        <x:v>未建立可用于本项目的已探明经济可采储量</x:v>
      </x:c>
      <x:c r="I72" s="22" t="str">
        <x:v>候选，不纳入首版选定工艺</x:v>
      </x:c>
      <x:c r="J72" s="22" t="str"/>
      <x:c r="K72" s="22" t="str">
        <x:v>本回答设定；不是文献实测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8a841c20672341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5" hidden="0" customWidth="1"/>
    <x:col min="3" max="3" width="23" hidden="0" customWidth="1"/>
    <x:col min="4" max="4" width="20" hidden="0" customWidth="1"/>
    <x:col min="5" max="5" width="15" hidden="0" customWidth="1"/>
    <x:col min="6" max="6" width="15" hidden="0" customWidth="1"/>
    <x:col min="7" max="7" width="40" hidden="0" customWidth="1"/>
    <x:col min="8" max="8" width="40" hidden="0" customWidth="1"/>
  </x:cols>
  <x:sheetData>
    <x:row r="1" ht="34" customHeight="1">
      <x:c r="A1" s="4" t="str">
        <x:v>原料与矿料假设</x:v>
      </x:c>
      <x:c r="B1" s="4"/>
      <x:c r="C1" s="4"/>
      <x:c r="D1" s="4"/>
      <x:c r="E1" s="4"/>
      <x:c r="F1" s="4"/>
      <x:c r="G1" s="4"/>
      <x:c r="H1" s="4"/>
    </x:row>
    <x:row r="2" ht="20" customHeight="1">
      <x:c r="A2" s="9" t="str">
        <x:v>品位与回收率全为情景参数，不是资源表测值；气体g=1指成分质量，不是全大气。实物库存必须有相应提取/分离工艺。</x:v>
      </x:c>
      <x:c r="B2" s="9"/>
      <x:c r="C2" s="9"/>
      <x:c r="D2" s="9"/>
      <x:c r="E2" s="9"/>
      <x:c r="F2" s="9"/>
      <x:c r="G2" s="9"/>
      <x:c r="H2" s="9"/>
    </x:row>
    <x:row r="3" ht="20" customHeight="1">
      <x:c r="A3" s="9"/>
      <x:c r="B3" s="9"/>
      <x:c r="C3" s="9"/>
      <x:c r="D3" s="9"/>
      <x:c r="E3" s="9"/>
      <x:c r="F3" s="9"/>
      <x:c r="G3" s="9"/>
      <x:c r="H3" s="9"/>
    </x:row>
    <x:row r="5" ht="38" customHeight="1">
      <x:c r="A5" s="15" t="str">
        <x:v>ID</x:v>
      </x:c>
      <x:c r="B5" s="15" t="str">
        <x:v>有效原料定义</x:v>
      </x:c>
      <x:c r="C5" s="15" t="str">
        <x:v>计量单位</x:v>
      </x:c>
      <x:c r="D5" s="15" t="str">
        <x:v>化学当量</x:v>
      </x:c>
      <x:c r="E5" s="15" t="str">
        <x:v>品位g（H）</x:v>
      </x:c>
      <x:c r="F5" s="15" t="str">
        <x:v>采收率η（H）</x:v>
      </x:c>
      <x:c r="G5" s="15" t="str">
        <x:v>证据/门槛</x:v>
      </x:c>
      <x:c r="H5" s="15" t="str">
        <x:v>来源URL</x:v>
      </x:c>
    </x:row>
    <x:row r="6" ht="40" customHeight="1">
      <x:c r="A6" s="22" t="str">
        <x:v>R01</x:v>
      </x:c>
      <x:c r="B6" s="22" t="str">
        <x:v>水冰中H₂O</x:v>
      </x:c>
      <x:c r="C6" s="22" t="str">
        <x:v>kg有效组分当量</x:v>
      </x:c>
      <x:c r="D6" s="22" t="str">
        <x:v>H2O</x:v>
      </x:c>
      <x:c r="E6" s="28" t="n">
        <x:v>0.5</x:v>
      </x:c>
      <x:c r="F6" s="28" t="n">
        <x:v>0.9</x:v>
      </x:c>
      <x:c r="G6" s="22" t="str">
        <x:v>水冰确认；矿点未指定</x:v>
      </x:c>
      <x:c r="H6" s="22" t="str">
        <x:v>https://www.usgs.gov/publications/subsurface-water-ice-mapping-mars-a-probabilistic-approach</x:v>
      </x:c>
    </x:row>
    <x:row r="7" ht="40" customHeight="1">
      <x:c r="A7" s="22" t="str">
        <x:v>R02</x:v>
      </x:c>
      <x:c r="B7" s="22" t="str">
        <x:v>大气CO₂组分</x:v>
      </x:c>
      <x:c r="C7" s="22" t="str">
        <x:v>kg有效组分当量</x:v>
      </x:c>
      <x:c r="D7" s="22" t="str">
        <x:v>CO2</x:v>
      </x:c>
      <x:c r="E7" s="28" t="n">
        <x:v>1</x:v>
      </x:c>
      <x:c r="F7" s="28" t="n">
        <x:v>0.9</x:v>
      </x:c>
      <x:c r="G7" s="22" t="str">
        <x:v>确认；品位1指组分而非全大气</x:v>
      </x:c>
      <x:c r="H7" s="22" t="str">
        <x:v>https://nssdc.gsfc.nasa.gov/planetary/factsheet/marsfact.html</x:v>
      </x:c>
    </x:row>
    <x:row r="8" ht="40" customHeight="1">
      <x:c r="A8" s="22" t="str">
        <x:v>R03</x:v>
      </x:c>
      <x:c r="B8" s="22" t="str">
        <x:v>大气N₂组分</x:v>
      </x:c>
      <x:c r="C8" s="22" t="str">
        <x:v>kg有效组分当量</x:v>
      </x:c>
      <x:c r="D8" s="22" t="str">
        <x:v>N2</x:v>
      </x:c>
      <x:c r="E8" s="28" t="n">
        <x:v>1</x:v>
      </x:c>
      <x:c r="F8" s="28" t="n">
        <x:v>0.8</x:v>
      </x:c>
      <x:c r="G8" s="22" t="str">
        <x:v>确认；品位1指组分而非全大气</x:v>
      </x:c>
      <x:c r="H8" s="22" t="str">
        <x:v>https://nssdc.gsfc.nasa.gov/planetary/factsheet/marsfact.html</x:v>
      </x:c>
    </x:row>
    <x:row r="9" ht="40" customHeight="1">
      <x:c r="A9" s="22" t="str">
        <x:v>R04</x:v>
      </x:c>
      <x:c r="B9" s="22" t="str">
        <x:v>大气Ar组分</x:v>
      </x:c>
      <x:c r="C9" s="22" t="str">
        <x:v>kg有效组分当量</x:v>
      </x:c>
      <x:c r="D9" s="22" t="str">
        <x:v>Ar</x:v>
      </x:c>
      <x:c r="E9" s="28" t="n">
        <x:v>1</x:v>
      </x:c>
      <x:c r="F9" s="28" t="n">
        <x:v>0.8</x:v>
      </x:c>
      <x:c r="G9" s="22" t="str">
        <x:v>确认；品位1指组分而非全大气</x:v>
      </x:c>
      <x:c r="H9" s="22" t="str">
        <x:v>https://nssdc.gsfc.nasa.gov/planetary/factsheet/marsfact.html</x:v>
      </x:c>
    </x:row>
    <x:row r="10" ht="40" customHeight="1">
      <x:c r="A10" s="22" t="str">
        <x:v>R05</x:v>
      </x:c>
      <x:c r="B10" s="22" t="str">
        <x:v>可用玄武质风化层</x:v>
      </x:c>
      <x:c r="C10" s="22" t="str">
        <x:v>kg有效组分当量</x:v>
      </x:c>
      <x:c r="D10" s="22" t="str">
        <x:v>混合矿物</x:v>
      </x:c>
      <x:c r="E10" s="28" t="n">
        <x:v>1</x:v>
      </x:c>
      <x:c r="F10" s="28" t="n">
        <x:v>0.9</x:v>
      </x:c>
      <x:c r="G10" s="22" t="str">
        <x:v>确认；需要去盐/筛选/材料鉴定</x:v>
      </x:c>
      <x:c r="H10" s="22" t="str">
        <x:v>https://mars.nasa.gov/files/msl/Science-2013-Meslin-.pdf
https://mars.nasa.gov/files/msl/Science-2013-Bish-.pdf</x:v>
      </x:c>
    </x:row>
    <x:row r="11" ht="40" customHeight="1">
      <x:c r="A11" s="22" t="str">
        <x:v>R06</x:v>
      </x:c>
      <x:c r="B11" s="22" t="str">
        <x:v>富硅原料SiO₂当量</x:v>
      </x:c>
      <x:c r="C11" s="22" t="str">
        <x:v>kg有效组分当量</x:v>
      </x:c>
      <x:c r="D11" s="22" t="str">
        <x:v>SiO2</x:v>
      </x:c>
      <x:c r="E11" s="28" t="n">
        <x:v>0.9</x:v>
      </x:c>
      <x:c r="F11" s="28" t="n">
        <x:v>0.9</x:v>
      </x:c>
      <x:c r="G11" s="22" t="str">
        <x:v>局部富集确认；光伏级纯化另需验证</x:v>
      </x:c>
      <x:c r="H11" s="22" t="str">
        <x:v>https://science.nasa.gov/photojournal/silica-rich-soil-found-by-spirit/</x:v>
      </x:c>
    </x:row>
    <x:row r="12" ht="40" customHeight="1">
      <x:c r="A12" s="22" t="str">
        <x:v>R07</x:v>
      </x:c>
      <x:c r="B12" s="22" t="str">
        <x:v>铁矿Fe₂O₃当量</x:v>
      </x:c>
      <x:c r="C12" s="22" t="str">
        <x:v>kg有效组分当量</x:v>
      </x:c>
      <x:c r="D12" s="22" t="str">
        <x:v>Fe2O3</x:v>
      </x:c>
      <x:c r="E12" s="28" t="n">
        <x:v>0.3</x:v>
      </x:c>
      <x:c r="F12" s="28" t="n">
        <x:v>0.85</x:v>
      </x:c>
      <x:c r="G12" s="22" t="str">
        <x:v>铁氧化物确认；30%为情景值</x:v>
      </x:c>
      <x:c r="H12" s="22" t="str">
        <x:v>https://mars.nasa.gov/files/msl/Science-2013-Bish-.pdf
https://ntrs.nasa.gov/citations/20120016264</x:v>
      </x:c>
    </x:row>
    <x:row r="13" ht="40" customHeight="1">
      <x:c r="A13" s="22" t="str">
        <x:v>R08</x:v>
      </x:c>
      <x:c r="B13" s="22" t="str">
        <x:v>碳酸钙原料CaCO₃当量</x:v>
      </x:c>
      <x:c r="C13" s="22" t="str">
        <x:v>kg有效组分当量</x:v>
      </x:c>
      <x:c r="D13" s="22" t="str">
        <x:v>CaCO3</x:v>
      </x:c>
      <x:c r="E13" s="28" t="n">
        <x:v>0.1</x:v>
      </x:c>
      <x:c r="F13" s="28" t="n">
        <x:v>0.8</x:v>
      </x:c>
      <x:c r="G13" s="22" t="str">
        <x:v>碳酸盐证据；高品位CaCO3矿待勘探</x:v>
      </x:c>
      <x:c r="H13" s="22" t="str">
        <x:v>https://ntrs.nasa.gov/citations/20090011357</x:v>
      </x:c>
    </x:row>
    <x:row r="14" ht="40" customHeight="1">
      <x:c r="A14" s="22" t="str">
        <x:v>R09</x:v>
      </x:c>
      <x:c r="B14" s="22" t="str">
        <x:v>天然硫S</x:v>
      </x:c>
      <x:c r="C14" s="22" t="str">
        <x:v>kg有效组分当量</x:v>
      </x:c>
      <x:c r="D14" s="22" t="str">
        <x:v>S</x:v>
      </x:c>
      <x:c r="E14" s="28" t="n">
        <x:v>0.5</x:v>
      </x:c>
      <x:c r="F14" s="28" t="n">
        <x:v>0.9</x:v>
      </x:c>
      <x:c r="G14" s="22" t="str">
        <x:v>确认；规模品位未知</x:v>
      </x:c>
      <x:c r="H14" s="22" t="str">
        <x:v>https://www.nasa.gov/missions/mars-science-laboratory/curiosity-rover/nasas-curiosity-rover-discovers-a-surprise-in-a-martian-rock/</x:v>
      </x:c>
    </x:row>
    <x:row r="15" ht="40" customHeight="1">
      <x:c r="A15" s="22" t="str">
        <x:v>R10</x:v>
      </x:c>
      <x:c r="B15" s="22" t="str">
        <x:v>磷灰石Ca₅(PO₄)₃F当量</x:v>
      </x:c>
      <x:c r="C15" s="22" t="str">
        <x:v>kg有效组分当量</x:v>
      </x:c>
      <x:c r="D15" s="22" t="str">
        <x:v>Ca5P3O12F</x:v>
      </x:c>
      <x:c r="E15" s="28" t="n">
        <x:v>0.02</x:v>
      </x:c>
      <x:c r="F15" s="28" t="n">
        <x:v>0.7</x:v>
      </x:c>
      <x:c r="G15" s="22" t="str">
        <x:v>载磷相存在；指定纯相为计算替身</x:v>
      </x:c>
      <x:c r="H15" s="22" t="str">
        <x:v>https://ntrs.nasa.gov/citations/20220018673</x:v>
      </x:c>
    </x:row>
    <x:row r="16" ht="40" customHeight="1">
      <x:c r="A16" s="22" t="str">
        <x:v>R11</x:v>
      </x:c>
      <x:c r="B16" s="22" t="str">
        <x:v>可选钾盐KCl</x:v>
      </x:c>
      <x:c r="C16" s="22" t="str">
        <x:v>kg有效组分当量</x:v>
      </x:c>
      <x:c r="D16" s="22" t="str">
        <x:v>KCl</x:v>
      </x:c>
      <x:c r="E16" s="28" t="n">
        <x:v>0.1</x:v>
      </x:c>
      <x:c r="F16" s="28" t="n">
        <x:v>0.7</x:v>
      </x:c>
      <x:c r="G16" s="22" t="str">
        <x:v>U：未确认可采钾盐矿</x:v>
      </x:c>
      <x:c r="H16" s="22" t="str">
        <x:v>本回答设定；不是文献实测</x:v>
      </x:c>
    </x:row>
    <x:row r="17" ht="40" customHeight="1">
      <x:c r="A17" s="22" t="str">
        <x:v>R12</x:v>
      </x:c>
      <x:c r="B17" s="22" t="str">
        <x:v>含水硫酸镁MgSO₄·H₂O当量</x:v>
      </x:c>
      <x:c r="C17" s="22" t="str">
        <x:v>kg有效组分当量</x:v>
      </x:c>
      <x:c r="D17" s="22" t="str">
        <x:v>MgSO4H2O</x:v>
      </x:c>
      <x:c r="E17" s="28" t="n">
        <x:v>0.2</x:v>
      </x:c>
      <x:c r="F17" s="28" t="n">
        <x:v>0.8</x:v>
      </x:c>
      <x:c r="G17" s="22" t="str">
        <x:v>硫酸镁确认；指定水合态为计算替身</x:v>
      </x:c>
      <x:c r="H17" s="22" t="str">
        <x:v>https://www.nasa.gov/missions/mars-science-laboratory/curiosity-rover/nasas-curiosity-mars-rover-reaches-long-awaited-salty-region/</x:v>
      </x:c>
    </x:row>
    <x:row r="18" ht="40" customHeight="1">
      <x:c r="A18" s="22" t="str">
        <x:v>R13</x:v>
      </x:c>
      <x:c r="B18" s="22" t="str">
        <x:v>氯化钠NaCl</x:v>
      </x:c>
      <x:c r="C18" s="22" t="str">
        <x:v>kg有效组分当量</x:v>
      </x:c>
      <x:c r="D18" s="22" t="str">
        <x:v>NaCl</x:v>
      </x:c>
      <x:c r="E18" s="28" t="n">
        <x:v>0.2</x:v>
      </x:c>
      <x:c r="F18" s="28" t="n">
        <x:v>0.8</x:v>
      </x:c>
      <x:c r="G18" s="22" t="str">
        <x:v>区域性确认</x:v>
      </x:c>
      <x:c r="H18" s="22" t="str">
        <x:v>https://www.nasa.gov/missions/mars-science-laboratory/curiosity-rover/nasas-curiosity-mars-rover-reaches-long-awaited-salty-region/</x:v>
      </x:c>
    </x:row>
    <x:row r="19" ht="40" customHeight="1">
      <x:c r="A19" s="22" t="str">
        <x:v>R14</x:v>
      </x:c>
      <x:c r="B19" s="22" t="str">
        <x:v>铜矿CuO当量</x:v>
      </x:c>
      <x:c r="C19" s="22" t="str">
        <x:v>kg有效组分当量</x:v>
      </x:c>
      <x:c r="D19" s="22" t="str">
        <x:v>CuO</x:v>
      </x:c>
      <x:c r="E19" s="28" t="n">
        <x:v>0.01</x:v>
      </x:c>
      <x:c r="F19" s="28" t="n">
        <x:v>0.8</x:v>
      </x:c>
      <x:c r="G19" s="22" t="str">
        <x:v>U：不是天然CuO矿床确认</x:v>
      </x:c>
      <x:c r="H19" s="22" t="str">
        <x:v>本回答设定；不是文献实测</x:v>
      </x:c>
    </x:row>
    <x:row r="20" ht="40" customHeight="1">
      <x:c r="A20" s="22" t="str">
        <x:v>R15</x:v>
      </x:c>
      <x:c r="B20" s="22" t="str">
        <x:v>镍矿NiO当量</x:v>
      </x:c>
      <x:c r="C20" s="22" t="str">
        <x:v>kg有效组分当量</x:v>
      </x:c>
      <x:c r="D20" s="22" t="str">
        <x:v>NiO</x:v>
      </x:c>
      <x:c r="E20" s="28" t="n">
        <x:v>0.01</x:v>
      </x:c>
      <x:c r="F20" s="28" t="n">
        <x:v>0.8</x:v>
      </x:c>
      <x:c r="G20" s="22" t="str">
        <x:v>U：不是天然NiO矿床确认</x:v>
      </x:c>
      <x:c r="H20" s="22" t="str">
        <x:v>本回答设定；不是文献实测</x:v>
      </x:c>
    </x:row>
    <x:row r="21" ht="40" customHeight="1">
      <x:c r="A21" s="22" t="str">
        <x:v>R16</x:v>
      </x:c>
      <x:c r="B21" s="22" t="str">
        <x:v>富铝矿Al₂O₃当量</x:v>
      </x:c>
      <x:c r="C21" s="22" t="str">
        <x:v>kg有效组分当量</x:v>
      </x:c>
      <x:c r="D21" s="22" t="str">
        <x:v>Al2O3</x:v>
      </x:c>
      <x:c r="E21" s="28" t="n">
        <x:v>0.2</x:v>
      </x:c>
      <x:c r="F21" s="28" t="n">
        <x:v>0.75</x:v>
      </x:c>
      <x:c r="G21" s="22" t="str">
        <x:v>含铝矿物确认；纯化链另计</x:v>
      </x:c>
      <x:c r="H21" s="22" t="str">
        <x:v>https://mars.nasa.gov/files/msl/Science-2013-Meslin-.pdf
https://ntrs.nasa.gov/citations/20120016264</x:v>
      </x:c>
    </x:row>
    <x:row r="22" ht="40" customHeight="1">
      <x:c r="A22" s="22" t="str">
        <x:v>R17</x:v>
      </x:c>
      <x:c r="B22" s="22" t="str">
        <x:v>可选银矿Ag₂S当量</x:v>
      </x:c>
      <x:c r="C22" s="22" t="str">
        <x:v>kg有效组分当量</x:v>
      </x:c>
      <x:c r="D22" s="22" t="str">
        <x:v>Ag2S</x:v>
      </x:c>
      <x:c r="E22" s="28" t="n">
        <x:v>0.0001</x:v>
      </x:c>
      <x:c r="F22" s="28" t="n">
        <x:v>0.8</x:v>
      </x:c>
      <x:c r="G22" s="22" t="str">
        <x:v>U：可采矿床未确认</x:v>
      </x:c>
      <x:c r="H22" s="22" t="str">
        <x:v>本回答设定；不是文献实测</x:v>
      </x:c>
    </x:row>
    <x:row r="23" ht="40" customHeight="1">
      <x:c r="A23" s="22" t="str">
        <x:v>R18</x:v>
      </x:c>
      <x:c r="B23" s="22" t="str">
        <x:v>硼矿B₂O₃当量</x:v>
      </x:c>
      <x:c r="C23" s="22" t="str">
        <x:v>kg有效组分当量</x:v>
      </x:c>
      <x:c r="D23" s="22" t="str">
        <x:v>B2O3</x:v>
      </x:c>
      <x:c r="E23" s="28" t="n">
        <x:v>0.001</x:v>
      </x:c>
      <x:c r="F23" s="28" t="n">
        <x:v>0.5</x:v>
      </x:c>
      <x:c r="G23" s="22" t="str">
        <x:v>B确认；矿床和纯化未知</x:v>
      </x:c>
      <x:c r="H23" s="22" t="str">
        <x:v>https://science.nasa.gov/resource/boron-in-calcium-sulfate-vein-at-catabola-mars</x:v>
      </x:c>
    </x:row>
    <x:row r="24" ht="40" customHeight="1">
      <x:c r="A24" s="22" t="str">
        <x:v>R19</x:v>
      </x:c>
      <x:c r="B24" s="22" t="str">
        <x:v>可选萤石CaF₂</x:v>
      </x:c>
      <x:c r="C24" s="22" t="str">
        <x:v>kg有效组分当量</x:v>
      </x:c>
      <x:c r="D24" s="22" t="str">
        <x:v>CaF2</x:v>
      </x:c>
      <x:c r="E24" s="28" t="n">
        <x:v>0.1</x:v>
      </x:c>
      <x:c r="F24" s="28" t="n">
        <x:v>0.8</x:v>
      </x:c>
      <x:c r="G24" s="22" t="str">
        <x:v>U：可采矿床未确认</x:v>
      </x:c>
      <x:c r="H24" s="22" t="str">
        <x:v>本回答设定；不是文献实测</x:v>
      </x:c>
    </x:row>
    <x:row r="25" ht="40" customHeight="1">
      <x:c r="A25" s="22" t="str">
        <x:v>R20</x:v>
      </x:c>
      <x:c r="B25" s="22" t="str">
        <x:v>可选锡矿SnO₂</x:v>
      </x:c>
      <x:c r="C25" s="22" t="str">
        <x:v>kg有效组分当量</x:v>
      </x:c>
      <x:c r="D25" s="22" t="str">
        <x:v>SnO2</x:v>
      </x:c>
      <x:c r="E25" s="28" t="n">
        <x:v>0.01</x:v>
      </x:c>
      <x:c r="F25" s="28" t="n">
        <x:v>0.8</x:v>
      </x:c>
      <x:c r="G25" s="22" t="str">
        <x:v>U：可采矿床未确认</x:v>
      </x:c>
      <x:c r="H25" s="22" t="str">
        <x:v>本回答设定；不是文献实测</x:v>
      </x:c>
    </x:row>
    <x:row r="26" ht="40" customHeight="1">
      <x:c r="A26" s="22" t="str">
        <x:v>R21</x:v>
      </x:c>
      <x:c r="B26" s="22" t="str">
        <x:v>石膏CaSO₄·2H₂O</x:v>
      </x:c>
      <x:c r="C26" s="22" t="str">
        <x:v>kg有效组分当量</x:v>
      </x:c>
      <x:c r="D26" s="22" t="str">
        <x:v>CaSO4H4O2</x:v>
      </x:c>
      <x:c r="E26" s="28" t="n">
        <x:v>0.5</x:v>
      </x:c>
      <x:c r="F26" s="28" t="n">
        <x:v>0.9</x:v>
      </x:c>
      <x:c r="G26" s="22" t="str">
        <x:v>矿物确认；局部品位未知</x:v>
      </x:c>
      <x:c r="H26" s="22" t="str">
        <x:v>https://www.nasa.gov/missions/mars-science-laboratory/curiosity-rover/nasas-curiosity-mars-rover-reaches-long-awaited-salty-region/</x:v>
      </x:c>
    </x:row>
  </x:sheetData>
  <x:mergeCells>
    <x:mergeCell ref="A1:H1"/>
    <x:mergeCell ref="A2:H3"/>
  </x:mergeCells>
  <x:conditionalFormatting sqref="E6:E26">
    <x:cfRule type="cellIs" dxfId="0" priority="1" operator="lessThanOrEqual">
      <x:formula>0</x:formula>
    </x:cfRule>
  </x:conditionalFormatting>
  <x:conditionalFormatting sqref="F6:F26">
    <x:cfRule type="cellIs" dxfId="1" priority="2" operator="less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1a7b6e3c8848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8" hidden="0" customWidth="1"/>
    <x:col min="4" max="4" width="26" hidden="0" customWidth="1"/>
    <x:col min="5" max="5" width="12" hidden="0" customWidth="1"/>
    <x:col min="6" max="6" width="40" hidden="0" customWidth="1"/>
    <x:col min="7" max="7" width="25" hidden="0" customWidth="1"/>
    <x:col min="8" max="8" width="23" hidden="0" customWidth="1"/>
    <x:col min="9" max="9" width="40" hidden="0" customWidth="1"/>
    <x:col min="10" max="10" width="40" hidden="0" customWidth="1"/>
  </x:cols>
  <x:sheetData>
    <x:row r="1" ht="34" customHeight="1">
      <x:c r="A1" s="4" t="str">
        <x:v>终端规格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9" t="str">
        <x:v>41个根产品；同类材料可作为另一棵树的中间节点。这里的“终端”是目录边界，不是所有经济活动中的永远终点。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5" ht="38" customHeight="1">
      <x:c r="A5" s="15" t="str">
        <x:v>ID</x:v>
      </x:c>
      <x:c r="B5" s="15" t="str">
        <x:v>森林</x:v>
      </x:c>
      <x:c r="C5" s="15" t="str">
        <x:v>终端产品</x:v>
      </x:c>
      <x:c r="D5" s="15" t="str">
        <x:v>一单位</x:v>
      </x:c>
      <x:c r="E5" s="15" t="str">
        <x:v>计量等级</x:v>
      </x:c>
      <x:c r="F5" s="15" t="str">
        <x:v>规格/情景定义</x:v>
      </x:c>
      <x:c r="G5" s="15" t="str">
        <x:v>外部投入</x:v>
      </x:c>
      <x:c r="H5" s="15" t="str">
        <x:v>U矿依赖</x:v>
      </x:c>
      <x:c r="I5" s="15" t="str">
        <x:v>说明</x:v>
      </x:c>
      <x:c r="J5" s="15" t="str">
        <x:v>依据URL</x:v>
      </x:c>
    </x:row>
    <x:row r="6" ht="40" customHeight="1">
      <x:c r="A6" s="22" t="str">
        <x:v>I01</x:v>
      </x:c>
      <x:c r="B6" s="22" t="str">
        <x:v>工业建设</x:v>
      </x:c>
      <x:c r="C6" s="22" t="str">
        <x:v>烧结砖/铺面块</x:v>
      </x:c>
      <x:c r="D6" s="22" t="str">
        <x:v>kg</x:v>
      </x:c>
      <x:c r="E6" s="22" t="str">
        <x:v>H</x:v>
      </x:c>
      <x:c r="F6" s="22" t="str">
        <x:v>按产品名称/单位</x:v>
      </x:c>
      <x:c r="G6" s="22" t="str">
        <x:v>不代表无辅材缺口</x:v>
      </x:c>
      <x:c r="H6" s="22" t="str">
        <x:v>未触发所列U矿</x:v>
      </x:c>
      <x:c r="I6" s="22" t="str">
        <x:v>非承压围护；95%合格率假设</x:v>
      </x:c>
      <x:c r="J6" s="22" t="str">
        <x:v>https://ntrs.nasa.gov/citations/20150010765</x:v>
      </x:c>
    </x:row>
    <x:row r="7" ht="40" customHeight="1">
      <x:c r="A7" s="22" t="str">
        <x:v>I02</x:v>
      </x:c>
      <x:c r="B7" s="22" t="str">
        <x:v>工业建设</x:v>
      </x:c>
      <x:c r="C7" s="22" t="str">
        <x:v>陶瓷管/耐火件</x:v>
      </x:c>
      <x:c r="D7" s="22" t="str">
        <x:v>kg</x:v>
      </x:c>
      <x:c r="E7" s="22" t="str">
        <x:v>H</x:v>
      </x:c>
      <x:c r="F7" s="22" t="str">
        <x:v>按产品名称/单位</x:v>
      </x:c>
      <x:c r="G7" s="22" t="str">
        <x:v>不代表无辅材缺口</x:v>
      </x:c>
      <x:c r="H7" s="22" t="str">
        <x:v>未触发所列U矿</x:v>
      </x:c>
      <x:c r="I7" s="22" t="str"/>
      <x:c r="J7" s="22" t="str">
        <x:v>https://ntrs.nasa.gov/citations/20150010765</x:v>
      </x:c>
    </x:row>
    <x:row r="8" ht="40" customHeight="1">
      <x:c r="A8" s="22" t="str">
        <x:v>I03</x:v>
      </x:c>
      <x:c r="B8" s="22" t="str">
        <x:v>工业建设</x:v>
      </x:c>
      <x:c r="C8" s="22" t="str">
        <x:v>岩棉/玄武岩纤维</x:v>
      </x:c>
      <x:c r="D8" s="22" t="str">
        <x:v>kg</x:v>
      </x:c>
      <x:c r="E8" s="22" t="str">
        <x:v>H</x:v>
      </x:c>
      <x:c r="F8" s="22" t="str">
        <x:v>按产品名称/单位</x:v>
      </x:c>
      <x:c r="G8" s="22" t="str">
        <x:v>不代表无辅材缺口</x:v>
      </x:c>
      <x:c r="H8" s="22" t="str">
        <x:v>未触发所列U矿</x:v>
      </x:c>
      <x:c r="I8" s="22" t="str"/>
      <x:c r="J8" s="22" t="str">
        <x:v>本回答设定；不是文献实测</x:v>
      </x:c>
    </x:row>
    <x:row r="9" ht="40" customHeight="1">
      <x:c r="A9" s="22" t="str">
        <x:v>I04</x:v>
      </x:c>
      <x:c r="B9" s="22" t="str">
        <x:v>工业建设</x:v>
      </x:c>
      <x:c r="C9" s="22" t="str">
        <x:v>透明硅玻璃板</x:v>
      </x:c>
      <x:c r="D9" s="22" t="str">
        <x:v>m²（厚5mm）</x:v>
      </x:c>
      <x:c r="E9" s="22" t="str">
        <x:v>H</x:v>
      </x:c>
      <x:c r="F9" s="22" t="str">
        <x:v>密度2200kg/m3×0.005m×1m2=11kg；材料假设，非压力窗设计</x:v>
      </x:c>
      <x:c r="G9" s="22" t="str">
        <x:v>不代表无辅材缺口</x:v>
      </x:c>
      <x:c r="H9" s="22" t="str">
        <x:v>未触发所列U矿</x:v>
      </x:c>
      <x:c r="I9" s="22" t="str"/>
      <x:c r="J9" s="22" t="str">
        <x:v>本回答设定；不是文献实测</x:v>
      </x:c>
    </x:row>
    <x:row r="10" ht="40" customHeight="1">
      <x:c r="A10" s="22" t="str">
        <x:v>I05</x:v>
      </x:c>
      <x:c r="B10" s="22" t="str">
        <x:v>工业建设</x:v>
      </x:c>
      <x:c r="C10" s="22" t="str">
        <x:v>低碳钢零件</x:v>
      </x:c>
      <x:c r="D10" s="22" t="str">
        <x:v>kg</x:v>
      </x:c>
      <x:c r="E10" s="22" t="str">
        <x:v>H/T</x:v>
      </x:c>
      <x:c r="F10" s="22" t="str">
        <x:v>按产品名称/单位</x:v>
      </x:c>
      <x:c r="G10" s="22" t="str">
        <x:v>不代表无辅材缺口</x:v>
      </x:c>
      <x:c r="H10" s="22" t="str">
        <x:v>未触发所列U矿</x:v>
      </x:c>
      <x:c r="I10" s="22" t="str">
        <x:v>机加工损耗默认0；应另加良率</x:v>
      </x:c>
      <x:c r="J10" s="22" t="str">
        <x:v>本回答设定；不是文献实测</x:v>
      </x:c>
    </x:row>
    <x:row r="11" ht="40" customHeight="1">
      <x:c r="A11" s="22" t="str">
        <x:v>I06</x:v>
      </x:c>
      <x:c r="B11" s="22" t="str">
        <x:v>工业建设</x:v>
      </x:c>
      <x:c r="C11" s="22" t="str">
        <x:v>裸铜导线</x:v>
      </x:c>
      <x:c r="D11" s="22" t="str">
        <x:v>kg</x:v>
      </x:c>
      <x:c r="E11" s="22" t="str">
        <x:v>T/U</x:v>
      </x:c>
      <x:c r="F11" s="22" t="str">
        <x:v>按产品名称/单位</x:v>
      </x:c>
      <x:c r="G11" s="22" t="str">
        <x:v>不代表无辅材缺口</x:v>
      </x:c>
      <x:c r="H11" s="22" t="str">
        <x:v>有</x:v>
      </x:c>
      <x:c r="I11" s="22" t="str">
        <x:v>不包含绝缘、端接；铜矿可用性未确认</x:v>
      </x:c>
      <x:c r="J11" s="22" t="str">
        <x:v>本回答设定；不是文献实测</x:v>
      </x:c>
    </x:row>
    <x:row r="12" ht="40" customHeight="1">
      <x:c r="A12" s="22" t="str">
        <x:v>I07</x:v>
      </x:c>
      <x:c r="B12" s="22" t="str">
        <x:v>工业建设</x:v>
      </x:c>
      <x:c r="C12" s="22" t="str">
        <x:v>PE管材/薄膜</x:v>
      </x:c>
      <x:c r="D12" s="22" t="str">
        <x:v>kg</x:v>
      </x:c>
      <x:c r="E12" s="22" t="str">
        <x:v>T/H</x:v>
      </x:c>
      <x:c r="F12" s="22" t="str">
        <x:v>按产品名称/单位</x:v>
      </x:c>
      <x:c r="G12" s="22" t="str">
        <x:v>不代表无辅材缺口</x:v>
      </x:c>
      <x:c r="H12" s="22" t="str">
        <x:v>未触发所列U矿</x:v>
      </x:c>
      <x:c r="I12" s="22" t="str"/>
      <x:c r="J12" s="22" t="str">
        <x:v>本回答设定；不是文献实测</x:v>
      </x:c>
    </x:row>
    <x:row r="13" ht="40" customHeight="1">
      <x:c r="A13" s="22" t="str">
        <x:v>I08</x:v>
      </x:c>
      <x:c r="B13" s="22" t="str">
        <x:v>工业建设</x:v>
      </x:c>
      <x:c r="C13" s="22" t="str">
        <x:v>硅橡胶密封件</x:v>
      </x:c>
      <x:c r="D13" s="22" t="str">
        <x:v>kg</x:v>
      </x:c>
      <x:c r="E13" s="22" t="str">
        <x:v>T/H</x:v>
      </x:c>
      <x:c r="F13" s="22" t="str">
        <x:v>按产品名称/单位</x:v>
      </x:c>
      <x:c r="G13" s="22" t="str">
        <x:v>不代表无辅材缺口</x:v>
      </x:c>
      <x:c r="H13" s="22" t="str">
        <x:v>未触发所列U矿</x:v>
      </x:c>
      <x:c r="I13" s="22" t="str"/>
      <x:c r="J13" s="22" t="str">
        <x:v>本回答设定；不是文献实测</x:v>
      </x:c>
    </x:row>
    <x:row r="14" ht="40" customHeight="1">
      <x:c r="A14" s="22" t="str">
        <x:v>I09</x:v>
      </x:c>
      <x:c r="B14" s="22" t="str">
        <x:v>工业建设</x:v>
      </x:c>
      <x:c r="C14" s="22" t="str">
        <x:v>润滑基料</x:v>
      </x:c>
      <x:c r="D14" s="22" t="str">
        <x:v>kg</x:v>
      </x:c>
      <x:c r="E14" s="22" t="str">
        <x:v>T/H</x:v>
      </x:c>
      <x:c r="F14" s="22" t="str">
        <x:v>按产品名称/单位</x:v>
      </x:c>
      <x:c r="G14" s="22" t="str">
        <x:v>不代表无辅材缺口</x:v>
      </x:c>
      <x:c r="H14" s="22" t="str">
        <x:v>未触发所列U矿</x:v>
      </x:c>
      <x:c r="I14" s="22" t="str"/>
      <x:c r="J14" s="22" t="str">
        <x:v>本回答设定；不是文献实测</x:v>
      </x:c>
    </x:row>
    <x:row r="15" ht="40" customHeight="1">
      <x:c r="A15" s="22" t="str">
        <x:v>I10</x:v>
      </x:c>
      <x:c r="B15" s="22" t="str">
        <x:v>工业建设</x:v>
      </x:c>
      <x:c r="C15" s="22" t="str">
        <x:v>钢制紧固件</x:v>
      </x:c>
      <x:c r="D15" s="22" t="str">
        <x:v>kg</x:v>
      </x:c>
      <x:c r="E15" s="22" t="str">
        <x:v>H/T</x:v>
      </x:c>
      <x:c r="F15" s="22" t="str">
        <x:v>按产品名称/单位</x:v>
      </x:c>
      <x:c r="G15" s="22" t="str">
        <x:v>不代表无辅材缺口</x:v>
      </x:c>
      <x:c r="H15" s="22" t="str">
        <x:v>未触发所列U矿</x:v>
      </x:c>
      <x:c r="I15" s="22" t="str"/>
      <x:c r="J15" s="22" t="str">
        <x:v>本回答设定；不是文献实测</x:v>
      </x:c>
    </x:row>
    <x:row r="16" ht="40" customHeight="1">
      <x:c r="A16" s="22" t="str">
        <x:v>I11</x:v>
      </x:c>
      <x:c r="B16" s="22" t="str">
        <x:v>工业建设</x:v>
      </x:c>
      <x:c r="C16" s="22" t="str">
        <x:v>流体泵套件</x:v>
      </x:c>
      <x:c r="D16" s="22" t="str">
        <x:v>套（名义1kW）</x:v>
      </x:c>
      <x:c r="E16" s="22" t="str">
        <x:v>H</x:v>
      </x:c>
      <x:c r="F16" s="22" t="str">
        <x:v>示例BOM，不保证扬程/流量/压力；非工程选型</x:v>
      </x:c>
      <x:c r="G16" s="22" t="str">
        <x:v>有</x:v>
      </x:c>
      <x:c r="H16" s="22" t="str">
        <x:v>有</x:v>
      </x:c>
      <x:c r="I16" s="22" t="str"/>
      <x:c r="J16" s="22" t="str">
        <x:v>本回答设定；不是文献实测</x:v>
      </x:c>
    </x:row>
    <x:row r="17" ht="40" customHeight="1">
      <x:c r="A17" s="22" t="str">
        <x:v>I12</x:v>
      </x:c>
      <x:c r="B17" s="22" t="str">
        <x:v>工业建设</x:v>
      </x:c>
      <x:c r="C17" s="22" t="str">
        <x:v>感应电机套件</x:v>
      </x:c>
      <x:c r="D17" s="22" t="str">
        <x:v>套（名义1kW）</x:v>
      </x:c>
      <x:c r="E17" s="22" t="str">
        <x:v>H</x:v>
      </x:c>
      <x:c r="F17" s="22" t="str">
        <x:v>避免稀土永磁体；绕组绝缘与叠片等级未冻结</x:v>
      </x:c>
      <x:c r="G17" s="22" t="str">
        <x:v>有</x:v>
      </x:c>
      <x:c r="H17" s="22" t="str">
        <x:v>有</x:v>
      </x:c>
      <x:c r="I17" s="22" t="str"/>
      <x:c r="J17" s="22" t="str">
        <x:v>本回答设定；不是文献实测</x:v>
      </x:c>
    </x:row>
    <x:row r="18" ht="40" customHeight="1">
      <x:c r="A18" s="22" t="str">
        <x:v>I13</x:v>
      </x:c>
      <x:c r="B18" s="22" t="str">
        <x:v>工业建设</x:v>
      </x:c>
      <x:c r="C18" s="22" t="str">
        <x:v>储液/储气容器套件</x:v>
      </x:c>
      <x:c r="D18" s="22" t="str">
        <x:v>套（容积1m³）</x:v>
      </x:c>
      <x:c r="E18" s="22" t="str">
        <x:v>H</x:v>
      </x:c>
      <x:c r="F18" s="22" t="str">
        <x:v>容积标签，不提供压力等级；壁厚与疲劳需独立设计</x:v>
      </x:c>
      <x:c r="G18" s="22" t="str">
        <x:v>有</x:v>
      </x:c>
      <x:c r="H18" s="22" t="str">
        <x:v>有</x:v>
      </x:c>
      <x:c r="I18" s="22" t="str"/>
      <x:c r="J18" s="22" t="str">
        <x:v>本回答设定；不是文献实测</x:v>
      </x:c>
    </x:row>
    <x:row r="19" ht="40" customHeight="1">
      <x:c r="A19" s="22" t="str">
        <x:v>I14</x:v>
      </x:c>
      <x:c r="B19" s="22" t="str">
        <x:v>工业建设</x:v>
      </x:c>
      <x:c r="C19" s="22" t="str">
        <x:v>电热炉套件</x:v>
      </x:c>
      <x:c r="D19" s="22" t="str">
        <x:v>套（名义1kW输入）</x:v>
      </x:c>
      <x:c r="E19" s="22" t="str">
        <x:v>H</x:v>
      </x:c>
      <x:c r="F19" s="22" t="str">
        <x:v>加热元件、炉温与产能需独立设计</x:v>
      </x:c>
      <x:c r="G19" s="22" t="str">
        <x:v>有</x:v>
      </x:c>
      <x:c r="H19" s="22" t="str">
        <x:v>有</x:v>
      </x:c>
      <x:c r="I19" s="22" t="str"/>
      <x:c r="J19" s="22" t="str">
        <x:v>本回答设定；不是文献实测</x:v>
      </x:c>
    </x:row>
    <x:row r="20" ht="40" customHeight="1">
      <x:c r="A20" s="22" t="str">
        <x:v>I15</x:v>
      </x:c>
      <x:c r="B20" s="22" t="str">
        <x:v>工业建设</x:v>
      </x:c>
      <x:c r="C20" s="22" t="str">
        <x:v>机加工设备套件</x:v>
      </x:c>
      <x:c r="D20" s="22" t="str">
        <x:v>套（名义1kW主驱动）</x:v>
      </x:c>
      <x:c r="E20" s="22" t="str">
        <x:v>H</x:v>
      </x:c>
      <x:c r="F20" s="22" t="str">
        <x:v>概念质量清单，不能由质量保证机床精度</x:v>
      </x:c>
      <x:c r="G20" s="22" t="str">
        <x:v>有</x:v>
      </x:c>
      <x:c r="H20" s="22" t="str">
        <x:v>有</x:v>
      </x:c>
      <x:c r="I20" s="22" t="str"/>
      <x:c r="J20" s="22" t="str">
        <x:v>本回答设定；不是文献实测</x:v>
      </x:c>
    </x:row>
    <x:row r="21" ht="40" customHeight="1">
      <x:c r="A21" s="22" t="str">
        <x:v>I16</x:v>
      </x:c>
      <x:c r="B21" s="22" t="str">
        <x:v>工业建设</x:v>
      </x:c>
      <x:c r="C21" s="22" t="str">
        <x:v>净水设备套件</x:v>
      </x:c>
      <x:c r="D21" s="22" t="str">
        <x:v>套（名义1m³/日）</x:v>
      </x:c>
      <x:c r="E21" s="22" t="str">
        <x:v>H</x:v>
      </x:c>
      <x:c r="F21" s="22" t="str">
        <x:v>膜/过滤/传感外购；不同污染物需不同工艺</x:v>
      </x:c>
      <x:c r="G21" s="22" t="str">
        <x:v>有</x:v>
      </x:c>
      <x:c r="H21" s="22" t="str">
        <x:v>有</x:v>
      </x:c>
      <x:c r="I21" s="22" t="str"/>
      <x:c r="J21" s="22" t="str">
        <x:v>本回答设定；不是文献实测</x:v>
      </x:c>
    </x:row>
    <x:row r="22" ht="40" customHeight="1">
      <x:c r="A22" s="22" t="str">
        <x:v>I17</x:v>
      </x:c>
      <x:c r="B22" s="22" t="str">
        <x:v>工业建设</x:v>
      </x:c>
      <x:c r="C22" s="22" t="str">
        <x:v>气体处理设备套件</x:v>
      </x:c>
      <x:c r="D22" s="22" t="str">
        <x:v>套（名义1kg CO₂/小时）</x:v>
      </x:c>
      <x:c r="E22" s="22" t="str">
        <x:v>H</x:v>
      </x:c>
      <x:c r="F22" s="22" t="str">
        <x:v>分离组件性能另测；气体产品回收率不是由BOM确定</x:v>
      </x:c>
      <x:c r="G22" s="22" t="str">
        <x:v>有</x:v>
      </x:c>
      <x:c r="H22" s="22" t="str">
        <x:v>有</x:v>
      </x:c>
      <x:c r="I22" s="22" t="str"/>
      <x:c r="J22" s="22" t="str">
        <x:v>本回答设定；不是文献实测</x:v>
      </x:c>
    </x:row>
    <x:row r="23" ht="40" customHeight="1">
      <x:c r="A23" s="22" t="str">
        <x:v>I18</x:v>
      </x:c>
      <x:c r="B23" s="22" t="str">
        <x:v>工业建设</x:v>
      </x:c>
      <x:c r="C23" s="22" t="str">
        <x:v>居住/厂房围护构件套件</x:v>
      </x:c>
      <x:c r="D23" s="22" t="str">
        <x:v>m²围护面</x:v>
      </x:c>
      <x:c r="E23" s="22" t="str">
        <x:v>H</x:v>
      </x:c>
      <x:c r="F23" s="22" t="str">
        <x:v>围护面而非建筑面积；不包含全部屏蔽层、气密和结构认证</x:v>
      </x:c>
      <x:c r="G23" s="22" t="str">
        <x:v>有</x:v>
      </x:c>
      <x:c r="H23" s="22" t="str">
        <x:v>未触发所列U矿</x:v>
      </x:c>
      <x:c r="I23" s="22" t="str"/>
      <x:c r="J23" s="22" t="str">
        <x:v>本回答设定；不是文献实测</x:v>
      </x:c>
    </x:row>
    <x:row r="24" ht="40" customHeight="1">
      <x:c r="A24" s="22" t="str">
        <x:v>I19</x:v>
      </x:c>
      <x:c r="B24" s="22" t="str">
        <x:v>工业建设</x:v>
      </x:c>
      <x:c r="C24" s="22" t="str">
        <x:v>机械阀门套件</x:v>
      </x:c>
      <x:c r="D24" s="22" t="str">
        <x:v>件（示例小型阀）</x:v>
      </x:c>
      <x:c r="E24" s="22" t="str">
        <x:v>H</x:v>
      </x:c>
      <x:c r="F24" s="22" t="str">
        <x:v>按产品名称/单位</x:v>
      </x:c>
      <x:c r="G24" s="22" t="str">
        <x:v>有</x:v>
      </x:c>
      <x:c r="H24" s="22" t="str">
        <x:v>未触发所列U矿</x:v>
      </x:c>
      <x:c r="I24" s="22" t="str"/>
      <x:c r="J24" s="22" t="str">
        <x:v>本回答设定；不是文献实测</x:v>
      </x:c>
    </x:row>
    <x:row r="25" ht="40" customHeight="1">
      <x:c r="A25" s="22" t="str">
        <x:v>I20</x:v>
      </x:c>
      <x:c r="B25" s="22" t="str">
        <x:v>工业建设</x:v>
      </x:c>
      <x:c r="C25" s="22" t="str">
        <x:v>绝缘电缆</x:v>
      </x:c>
      <x:c r="D25" s="22" t="str">
        <x:v>kg</x:v>
      </x:c>
      <x:c r="E25" s="22" t="str">
        <x:v>H</x:v>
      </x:c>
      <x:c r="F25" s="22" t="str">
        <x:v>80%铜/20%PE质量假设；电压、截面和耐温另定</x:v>
      </x:c>
      <x:c r="G25" s="22" t="str">
        <x:v>不代表无辅材缺口</x:v>
      </x:c>
      <x:c r="H25" s="22" t="str">
        <x:v>有</x:v>
      </x:c>
      <x:c r="I25" s="22" t="str"/>
      <x:c r="J25" s="22" t="str">
        <x:v>本回答设定；不是文献实测</x:v>
      </x:c>
    </x:row>
    <x:row r="26" ht="40" customHeight="1">
      <x:c r="A26" s="22" t="str">
        <x:v>A01</x:v>
      </x:c>
      <x:c r="B26" s="22" t="str">
        <x:v>农业</x:v>
      </x:c>
      <x:c r="C26" s="22" t="str">
        <x:v>净水</x:v>
      </x:c>
      <x:c r="D26" s="22" t="str">
        <x:v>kg</x:v>
      </x:c>
      <x:c r="E26" s="22" t="str">
        <x:v>T</x:v>
      </x:c>
      <x:c r="F26" s="22" t="str">
        <x:v>按产品名称/单位</x:v>
      </x:c>
      <x:c r="G26" s="22" t="str">
        <x:v>不代表无辅材缺口</x:v>
      </x:c>
      <x:c r="H26" s="22" t="str">
        <x:v>未触发所列U矿</x:v>
      </x:c>
      <x:c r="I26" s="22" t="str"/>
      <x:c r="J26" s="22" t="str">
        <x:v>https://www.usgs.gov/publications/subsurface-water-ice-mapping-mars-a-probabilistic-approach</x:v>
      </x:c>
    </x:row>
    <x:row r="27" ht="40" customHeight="1">
      <x:c r="A27" s="22" t="str">
        <x:v>A02</x:v>
      </x:c>
      <x:c r="B27" s="22" t="str">
        <x:v>农业</x:v>
      </x:c>
      <x:c r="C27" s="22" t="str">
        <x:v>无水硝酸钙肥料当量</x:v>
      </x:c>
      <x:c r="D27" s="22" t="str">
        <x:v>kg</x:v>
      </x:c>
      <x:c r="E27" s="22" t="str">
        <x:v>T</x:v>
      </x:c>
      <x:c r="F27" s="22" t="str">
        <x:v>按产品名称/单位</x:v>
      </x:c>
      <x:c r="G27" s="22" t="str">
        <x:v>不代表无辅材缺口</x:v>
      </x:c>
      <x:c r="H27" s="22" t="str">
        <x:v>未触发所列U矿</x:v>
      </x:c>
      <x:c r="I27" s="22" t="str">
        <x:v>按纯盐主计量；不是可直接投放的完整水培配方</x:v>
      </x:c>
      <x:c r="J27" s="22" t="str">
        <x:v>本回答设定；不是文献实测</x:v>
      </x:c>
    </x:row>
    <x:row r="28" ht="40" customHeight="1">
      <x:c r="A28" s="22" t="str">
        <x:v>A03</x:v>
      </x:c>
      <x:c r="B28" s="22" t="str">
        <x:v>农业</x:v>
      </x:c>
      <x:c r="C28" s="22" t="str">
        <x:v>磷酸一铵肥料当量</x:v>
      </x:c>
      <x:c r="D28" s="22" t="str">
        <x:v>kg</x:v>
      </x:c>
      <x:c r="E28" s="22" t="str">
        <x:v>T</x:v>
      </x:c>
      <x:c r="F28" s="22" t="str">
        <x:v>按产品名称/单位</x:v>
      </x:c>
      <x:c r="G28" s="22" t="str">
        <x:v>不代表无辅材缺口</x:v>
      </x:c>
      <x:c r="H28" s="22" t="str">
        <x:v>未触发所列U矿</x:v>
      </x:c>
      <x:c r="I28" s="22" t="str">
        <x:v>需与硝态氮及其他盐配平；非万能肥</x:v>
      </x:c>
      <x:c r="J28" s="22" t="str">
        <x:v>本回答设定；不是文献实测</x:v>
      </x:c>
    </x:row>
    <x:row r="29" ht="40" customHeight="1">
      <x:c r="A29" s="22" t="str">
        <x:v>A04</x:v>
      </x:c>
      <x:c r="B29" s="22" t="str">
        <x:v>农业</x:v>
      </x:c>
      <x:c r="C29" s="22" t="str">
        <x:v>硫酸钾肥料</x:v>
      </x:c>
      <x:c r="D29" s="22" t="str">
        <x:v>kg</x:v>
      </x:c>
      <x:c r="E29" s="22" t="str">
        <x:v>T/U</x:v>
      </x:c>
      <x:c r="F29" s="22" t="str">
        <x:v>按产品名称/单位</x:v>
      </x:c>
      <x:c r="G29" s="22" t="str">
        <x:v>不代表无辅材缺口</x:v>
      </x:c>
      <x:c r="H29" s="22" t="str">
        <x:v>有</x:v>
      </x:c>
      <x:c r="I29" s="22" t="str">
        <x:v>以假设钾盐矿为条件；未证实则不能开工</x:v>
      </x:c>
      <x:c r="J29" s="22" t="str">
        <x:v>本回答设定；不是文献实测</x:v>
      </x:c>
    </x:row>
    <x:row r="30" ht="40" customHeight="1">
      <x:c r="A30" s="22" t="str">
        <x:v>A05</x:v>
      </x:c>
      <x:c r="B30" s="22" t="str">
        <x:v>农业</x:v>
      </x:c>
      <x:c r="C30" s="22" t="str">
        <x:v>七水硫酸镁肥料</x:v>
      </x:c>
      <x:c r="D30" s="22" t="str">
        <x:v>kg</x:v>
      </x:c>
      <x:c r="E30" s="22" t="str">
        <x:v>T</x:v>
      </x:c>
      <x:c r="F30" s="22" t="str">
        <x:v>按产品名称/单位</x:v>
      </x:c>
      <x:c r="G30" s="22" t="str">
        <x:v>不代表无辅材缺口</x:v>
      </x:c>
      <x:c r="H30" s="22" t="str">
        <x:v>未触发所列U矿</x:v>
      </x:c>
      <x:c r="I30" s="22" t="str">
        <x:v>假定原料为一水盐当量，非所有天然镁盐的通用换算</x:v>
      </x:c>
      <x:c r="J30" s="22" t="str">
        <x:v>本回答设定；不是文献实测</x:v>
      </x:c>
    </x:row>
    <x:row r="31" ht="40" customHeight="1">
      <x:c r="A31" s="22" t="str">
        <x:v>A06</x:v>
      </x:c>
      <x:c r="B31" s="22" t="str">
        <x:v>农业</x:v>
      </x:c>
      <x:c r="C31" s="22" t="str">
        <x:v>石膏钙硫肥</x:v>
      </x:c>
      <x:c r="D31" s="22" t="str">
        <x:v>kg</x:v>
      </x:c>
      <x:c r="E31" s="22" t="str">
        <x:v>T</x:v>
      </x:c>
      <x:c r="F31" s="22" t="str">
        <x:v>按产品名称/单位</x:v>
      </x:c>
      <x:c r="G31" s="22" t="str">
        <x:v>不代表无辅材缺口</x:v>
      </x:c>
      <x:c r="H31" s="22" t="str">
        <x:v>未触发所列U矿</x:v>
      </x:c>
      <x:c r="I31" s="22" t="str">
        <x:v>纯化检验另计；A03酸解副产石膏可替代部分需求但不能双算</x:v>
      </x:c>
      <x:c r="J31" s="22" t="str">
        <x:v>本回答设定；不是文献实测</x:v>
      </x:c>
    </x:row>
    <x:row r="32" ht="40" customHeight="1">
      <x:c r="A32" s="22" t="str">
        <x:v>A07</x:v>
      </x:c>
      <x:c r="B32" s="22" t="str">
        <x:v>农业</x:v>
      </x:c>
      <x:c r="C32" s="22" t="str">
        <x:v>小麦可食干物质</x:v>
      </x:c>
      <x:c r="D32" s="22" t="str">
        <x:v>kg可食干物质</x:v>
      </x:c>
      <x:c r="E32" s="22" t="str">
        <x:v>H</x:v>
      </x:c>
      <x:c r="F32" s="22" t="str">
        <x:v>假设收获指数0.45；周期80日；同类不代表统一品种/栽培参数</x:v>
      </x:c>
      <x:c r="G32" s="22" t="str">
        <x:v>有</x:v>
      </x:c>
      <x:c r="H32" s="22" t="str">
        <x:v>有</x:v>
      </x:c>
      <x:c r="I32" s="22" t="str">
        <x:v>作物列仅预核算占位：净固定碳代理+养分元素目标+98%蒸腾冷凝回收；盐氮/钙可能过供，必须经营养配方优化替换。种源为初始生物资本，不是火星天然原料。</x:v>
      </x:c>
      <x:c r="J32" s="22" t="str">
        <x:v>https://ntrs.nasa.gov/citations/20040089951
https://www.esa.int/Enabling_Support/Space_Engineering_Technology/Melissa/Closed_Loop_Compartments</x:v>
      </x:c>
    </x:row>
    <x:row r="33" ht="40" customHeight="1">
      <x:c r="A33" s="22" t="str">
        <x:v>A08</x:v>
      </x:c>
      <x:c r="B33" s="22" t="str">
        <x:v>农业</x:v>
      </x:c>
      <x:c r="C33" s="22" t="str">
        <x:v>大豆可食干物质</x:v>
      </x:c>
      <x:c r="D33" s="22" t="str">
        <x:v>kg可食干物质</x:v>
      </x:c>
      <x:c r="E33" s="22" t="str">
        <x:v>H</x:v>
      </x:c>
      <x:c r="F33" s="22" t="str">
        <x:v>假设收获指数0.4；周期95日；同类不代表统一品种/栽培参数</x:v>
      </x:c>
      <x:c r="G33" s="22" t="str">
        <x:v>有</x:v>
      </x:c>
      <x:c r="H33" s="22" t="str">
        <x:v>有</x:v>
      </x:c>
      <x:c r="I33" s="22" t="str">
        <x:v>作物列仅预核算占位：净固定碳代理+养分元素目标+98%蒸腾冷凝回收；盐氮/钙可能过供，必须经营养配方优化替换。种源为初始生物资本，不是火星天然原料。</x:v>
      </x:c>
      <x:c r="J33" s="22" t="str">
        <x:v>https://ntrs.nasa.gov/citations/20040089951
https://www.esa.int/Enabling_Support/Space_Engineering_Technology/Melissa/Closed_Loop_Compartments</x:v>
      </x:c>
    </x:row>
    <x:row r="34" ht="40" customHeight="1">
      <x:c r="A34" s="22" t="str">
        <x:v>A09</x:v>
      </x:c>
      <x:c r="B34" s="22" t="str">
        <x:v>农业</x:v>
      </x:c>
      <x:c r="C34" s="22" t="str">
        <x:v>马铃薯可食干物质</x:v>
      </x:c>
      <x:c r="D34" s="22" t="str">
        <x:v>kg可食干物质</x:v>
      </x:c>
      <x:c r="E34" s="22" t="str">
        <x:v>H</x:v>
      </x:c>
      <x:c r="F34" s="22" t="str">
        <x:v>假设收获指数0.75；周期100日；同类不代表统一品种/栽培参数</x:v>
      </x:c>
      <x:c r="G34" s="22" t="str">
        <x:v>有</x:v>
      </x:c>
      <x:c r="H34" s="22" t="str">
        <x:v>有</x:v>
      </x:c>
      <x:c r="I34" s="22" t="str">
        <x:v>作物列仅预核算占位：净固定碳代理+养分元素目标+98%蒸腾冷凝回收；盐氮/钙可能过供，必须经营养配方优化替换。种源为初始生物资本，不是火星天然原料。</x:v>
      </x:c>
      <x:c r="J34" s="22" t="str">
        <x:v>https://ntrs.nasa.gov/citations/20040089951
https://www.esa.int/Enabling_Support/Space_Engineering_Technology/Melissa/Closed_Loop_Compartments</x:v>
      </x:c>
    </x:row>
    <x:row r="35" ht="40" customHeight="1">
      <x:c r="A35" s="22" t="str">
        <x:v>A10</x:v>
      </x:c>
      <x:c r="B35" s="22" t="str">
        <x:v>农业</x:v>
      </x:c>
      <x:c r="C35" s="22" t="str">
        <x:v>叶菜可食干物质</x:v>
      </x:c>
      <x:c r="D35" s="22" t="str">
        <x:v>kg可食干物质</x:v>
      </x:c>
      <x:c r="E35" s="22" t="str">
        <x:v>H</x:v>
      </x:c>
      <x:c r="F35" s="22" t="str">
        <x:v>假设收获指数0.85；周期30日；同类不代表统一品种/栽培参数</x:v>
      </x:c>
      <x:c r="G35" s="22" t="str">
        <x:v>有</x:v>
      </x:c>
      <x:c r="H35" s="22" t="str">
        <x:v>有</x:v>
      </x:c>
      <x:c r="I35" s="22" t="str">
        <x:v>作物列仅预核算占位：净固定碳代理+养分元素目标+98%蒸腾冷凝回收；盐氮/钙可能过供，必须经营养配方优化替换。种源为初始生物资本，不是火星天然原料。</x:v>
      </x:c>
      <x:c r="J35" s="22" t="str">
        <x:v>https://ntrs.nasa.gov/citations/20040089951
https://www.esa.int/Enabling_Support/Space_Engineering_Technology/Melissa/Closed_Loop_Compartments</x:v>
      </x:c>
    </x:row>
    <x:row r="36" ht="40" customHeight="1">
      <x:c r="A36" s="22" t="str">
        <x:v>A11</x:v>
      </x:c>
      <x:c r="B36" s="22" t="str">
        <x:v>农业</x:v>
      </x:c>
      <x:c r="C36" s="22" t="str">
        <x:v>循环水培栽培模块</x:v>
      </x:c>
      <x:c r="D36" s="22" t="str">
        <x:v>m²栽培面积</x:v>
      </x:c>
      <x:c r="E36" s="22" t="str">
        <x:v>H</x:v>
      </x:c>
      <x:c r="F36" s="22" t="str">
        <x:v>不含围护壳、灯具与初始营养液；它们通过资本/服务清单另设</x:v>
      </x:c>
      <x:c r="G36" s="22" t="str">
        <x:v>有</x:v>
      </x:c>
      <x:c r="H36" s="22" t="str">
        <x:v>有</x:v>
      </x:c>
      <x:c r="I36" s="22" t="str">
        <x:v>种子、苗木、微生物由地球引入或本地繁育；不可从矿物直接生成。</x:v>
      </x:c>
      <x:c r="J36" s="22" t="str">
        <x:v>https://www.esa.int/Enabling_Support/Space_Engineering_Technology/Melissa/Closed_Loop_Compartments</x:v>
      </x:c>
    </x:row>
    <x:row r="37" ht="40" customHeight="1">
      <x:c r="A37" s="22" t="str">
        <x:v>E01</x:v>
      </x:c>
      <x:c r="B37" s="22" t="str">
        <x:v>能源</x:v>
      </x:c>
      <x:c r="C37" s="22" t="str">
        <x:v>晶硅太阳能板</x:v>
      </x:c>
      <x:c r="D37" s="22" t="str">
        <x:v>m²组件</x:v>
      </x:c>
      <x:c r="E37" s="22" t="str">
        <x:v>H</x:v>
      </x:c>
      <x:c r="F37" s="22" t="str">
        <x:v>双玻总厚4mm；硅180µm覆盖90%；组件效率假设18%；不含支架/逆变系统</x:v>
      </x:c>
      <x:c r="G37" s="22" t="str">
        <x:v>有</x:v>
      </x:c>
      <x:c r="H37" s="22" t="str">
        <x:v>有</x:v>
      </x:c>
      <x:c r="I37" s="22" t="str">
        <x:v>高级/条件性本地制造；真实电池制程辅料与合格率尚未闭合。启动阶段可进口电池片而本地封装，但该替代路线未混入本矩阵。</x:v>
      </x:c>
      <x:c r="J37" s="22" t="str">
        <x:v>https://www.energy.gov/cmei/systems/crystalline-silicon-photovoltaics-research
https://www.energy.gov/cmei/systems/solar-photovoltaic-manufacturing-basics</x:v>
      </x:c>
    </x:row>
    <x:row r="38" ht="40" customHeight="1">
      <x:c r="A38" s="22" t="str">
        <x:v>E02</x:v>
      </x:c>
      <x:c r="B38" s="22" t="str">
        <x:v>能源</x:v>
      </x:c>
      <x:c r="C38" s="22" t="str">
        <x:v>太阳热集热板</x:v>
      </x:c>
      <x:c r="D38" s="22" t="str">
        <x:v>m²集热面积</x:v>
      </x:c>
      <x:c r="E38" s="22" t="str">
        <x:v>H</x:v>
      </x:c>
      <x:c r="F38" s="22" t="str">
        <x:v>2.5mm透明板；选择性涂层占位；集热效率另定</x:v>
      </x:c>
      <x:c r="G38" s="22" t="str">
        <x:v>有</x:v>
      </x:c>
      <x:c r="H38" s="22" t="str">
        <x:v>有</x:v>
      </x:c>
      <x:c r="I38" s="22" t="str"/>
      <x:c r="J38" s="22" t="str">
        <x:v>本回答设定；不是文献实测</x:v>
      </x:c>
    </x:row>
    <x:row r="39" ht="40" customHeight="1">
      <x:c r="A39" s="22" t="str">
        <x:v>E03</x:v>
      </x:c>
      <x:c r="B39" s="22" t="str">
        <x:v>能源</x:v>
      </x:c>
      <x:c r="C39" s="22" t="str">
        <x:v>岩石显热储热模块</x:v>
      </x:c>
      <x:c r="D39" s="22" t="str">
        <x:v>kWhₜₕ名义容量</x:v>
      </x:c>
      <x:c r="E39" s="22" t="str">
        <x:v>H</x:v>
      </x:c>
      <x:c r="F39" s="22" t="str">
        <x:v>cp=0.84kJ/(kgK)、ΔT=300K、可用率85%；均为设计假设</x:v>
      </x:c>
      <x:c r="G39" s="22" t="str">
        <x:v>不代表无辅材缺口</x:v>
      </x:c>
      <x:c r="H39" s="22" t="str">
        <x:v>未触发所列U矿</x:v>
      </x:c>
      <x:c r="I39" s="22" t="str">
        <x:v>制造该容量不是已经存有热能；充热另需能量。</x:v>
      </x:c>
      <x:c r="J39" s="22" t="str">
        <x:v>本回答设定；不是文献实测</x:v>
      </x:c>
    </x:row>
    <x:row r="40" ht="40" customHeight="1">
      <x:c r="A40" s="22" t="str">
        <x:v>E04</x:v>
      </x:c>
      <x:c r="B40" s="22" t="str">
        <x:v>能源</x:v>
      </x:c>
      <x:c r="C40" s="22" t="str">
        <x:v>碱性水电解设备</x:v>
      </x:c>
      <x:c r="D40" s="22" t="str">
        <x:v>套（1kW额定输入）</x:v>
      </x:c>
      <x:c r="E40" s="22" t="str">
        <x:v>H</x:v>
      </x:c>
      <x:c r="F40" s="22" t="str">
        <x:v>Ni/KOH为条件原料；电耗另设，不由质量清单推出产氢量</x:v>
      </x:c>
      <x:c r="G40" s="22" t="str">
        <x:v>有</x:v>
      </x:c>
      <x:c r="H40" s="22" t="str">
        <x:v>有</x:v>
      </x:c>
      <x:c r="I40" s="22" t="str"/>
      <x:c r="J40" s="22" t="str">
        <x:v>本回答设定；不是文献实测</x:v>
      </x:c>
    </x:row>
    <x:row r="41" ht="40" customHeight="1">
      <x:c r="A41" s="22" t="str">
        <x:v>E05</x:v>
      </x:c>
      <x:c r="B41" s="22" t="str">
        <x:v>能源</x:v>
      </x:c>
      <x:c r="C41" s="22" t="str">
        <x:v>甲烷合成设备</x:v>
      </x:c>
      <x:c r="D41" s="22" t="str">
        <x:v>套（名义1kg CH₄/日）</x:v>
      </x:c>
      <x:c r="E41" s="22" t="str">
        <x:v>H</x:v>
      </x:c>
      <x:c r="F41" s="22" t="str">
        <x:v>Sabatier设备概念BOM；压缩/热交换/净化需匹配</x:v>
      </x:c>
      <x:c r="G41" s="22" t="str">
        <x:v>有</x:v>
      </x:c>
      <x:c r="H41" s="22" t="str">
        <x:v>有</x:v>
      </x:c>
      <x:c r="I41" s="22" t="str"/>
      <x:c r="J41" s="22" t="str">
        <x:v>本回答设定；不是文献实测</x:v>
      </x:c>
    </x:row>
    <x:row r="42" ht="40" customHeight="1">
      <x:c r="A42" s="22" t="str">
        <x:v>E06</x:v>
      </x:c>
      <x:c r="B42" s="22" t="str">
        <x:v>能源</x:v>
      </x:c>
      <x:c r="C42" s="22" t="str">
        <x:v>合成甲烷</x:v>
      </x:c>
      <x:c r="D42" s="22" t="str">
        <x:v>kg</x:v>
      </x:c>
      <x:c r="E42" s="22" t="str">
        <x:v>T</x:v>
      </x:c>
      <x:c r="F42" s="22" t="str">
        <x:v>按产品名称/单位</x:v>
      </x:c>
      <x:c r="G42" s="22" t="str">
        <x:v>不代表无辅材缺口</x:v>
      </x:c>
      <x:c r="H42" s="22" t="str">
        <x:v>未触发所列U矿</x:v>
      </x:c>
      <x:c r="I42" s="22" t="str">
        <x:v>毛水量含上游电解；工艺回水单独列出。</x:v>
      </x:c>
      <x:c r="J42" s="22" t="str">
        <x:v>https://ntrs.nasa.gov/citations/19910014303</x:v>
      </x:c>
    </x:row>
    <x:row r="43" ht="40" customHeight="1">
      <x:c r="A43" s="22" t="str">
        <x:v>E07</x:v>
      </x:c>
      <x:c r="B43" s="22" t="str">
        <x:v>能源</x:v>
      </x:c>
      <x:c r="C43" s="22" t="str">
        <x:v>氢气</x:v>
      </x:c>
      <x:c r="D43" s="22" t="str">
        <x:v>kg</x:v>
      </x:c>
      <x:c r="E43" s="22" t="str">
        <x:v>T</x:v>
      </x:c>
      <x:c r="F43" s="22" t="str">
        <x:v>按产品名称/单位</x:v>
      </x:c>
      <x:c r="G43" s="22" t="str">
        <x:v>不代表无辅材缺口</x:v>
      </x:c>
      <x:c r="H43" s="22" t="str">
        <x:v>未触发所列U矿</x:v>
      </x:c>
      <x:c r="I43" s="22" t="str"/>
      <x:c r="J43" s="22" t="str">
        <x:v>https://ntrs.nasa.gov/citations/19910014303</x:v>
      </x:c>
    </x:row>
    <x:row r="44" ht="40" customHeight="1">
      <x:c r="A44" s="22" t="str">
        <x:v>E08</x:v>
      </x:c>
      <x:c r="B44" s="22" t="str">
        <x:v>能源</x:v>
      </x:c>
      <x:c r="C44" s="22" t="str">
        <x:v>氧气</x:v>
      </x:c>
      <x:c r="D44" s="22" t="str">
        <x:v>kg</x:v>
      </x:c>
      <x:c r="E44" s="22" t="str">
        <x:v>T</x:v>
      </x:c>
      <x:c r="F44" s="22" t="str">
        <x:v>按产品名称/单位</x:v>
      </x:c>
      <x:c r="G44" s="22" t="str">
        <x:v>不代表无辅材缺口</x:v>
      </x:c>
      <x:c r="H44" s="22" t="str">
        <x:v>未触发所列U矿</x:v>
      </x:c>
      <x:c r="I44" s="22" t="str">
        <x:v>独立CO2电解列；已有副产氧时不应机械叠加本列。</x:v>
      </x:c>
      <x:c r="J44" s="22" t="str">
        <x:v>https://www.nasa.gov/solar-system/nasas-oxygen-generating-experiment-moxie-completes-mars-mission/</x:v>
      </x:c>
    </x:row>
    <x:row r="45" ht="40" customHeight="1">
      <x:c r="A45" s="22" t="str">
        <x:v>E09</x:v>
      </x:c>
      <x:c r="B45" s="22" t="str">
        <x:v>能源</x:v>
      </x:c>
      <x:c r="C45" s="22" t="str">
        <x:v>镍铁蓄电池模块</x:v>
      </x:c>
      <x:c r="D45" s="22" t="str">
        <x:v>kWhₑ名义容量</x:v>
      </x:c>
      <x:c r="E45" s="22" t="str">
        <x:v>H</x:v>
      </x:c>
      <x:c r="F45" s="22" t="str">
        <x:v>示例质量配方，不保证1kWh性能；需保温、水维护，镍矿为未证实门槛</x:v>
      </x:c>
      <x:c r="G45" s="22" t="str">
        <x:v>有</x:v>
      </x:c>
      <x:c r="H45" s="22" t="str">
        <x:v>有</x:v>
      </x:c>
      <x:c r="I45" s="22" t="str">
        <x:v>电池是储能不是一次能源；初次充电和充放效率另计。</x:v>
      </x:c>
      <x:c r="J45" s="22" t="str">
        <x:v>https://www.sandia.gov/app/uploads/sites/163/2021/09/SAND2014-17462.pdf</x:v>
      </x:c>
    </x:row>
    <x:row r="46" ht="40" customHeight="1">
      <x:c r="A46" s="22" t="str">
        <x:v>E10</x:v>
      </x:c>
      <x:c r="B46" s="22" t="str">
        <x:v>能源</x:v>
      </x:c>
      <x:c r="C46" s="22" t="str">
        <x:v>甲烷—氧气发电机套件</x:v>
      </x:c>
      <x:c r="D46" s="22" t="str">
        <x:v>套（1kWₑ名义输出）</x:v>
      </x:c>
      <x:c r="E46" s="22" t="str">
        <x:v>H</x:v>
      </x:c>
      <x:c r="F46" s="22" t="str">
        <x:v>封闭/稀释工质与散热系统需设计；不能套用地球吸气式发动机</x:v>
      </x:c>
      <x:c r="G46" s="22" t="str">
        <x:v>有</x:v>
      </x:c>
      <x:c r="H46" s="22" t="str">
        <x:v>有</x:v>
      </x:c>
      <x:c r="I46" s="22" t="str">
        <x:v>消耗甲烷与氧；不产生净能源。</x:v>
      </x:c>
      <x:c r="J46" s="22" t="str">
        <x:v>本回答设定；不是文献实测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4e8a106e41f94b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9" hidden="0" customWidth="1"/>
    <x:col min="3" max="3" width="13" hidden="0" customWidth="1"/>
    <x:col min="4" max="4" width="17" hidden="0" customWidth="1"/>
    <x:col min="5" max="5" width="15" hidden="0" customWidth="1"/>
    <x:col min="6" max="6" width="18" hidden="0" customWidth="1"/>
    <x:col min="7" max="7" width="24" hidden="0" customWidth="1"/>
    <x:col min="8" max="8" width="13" hidden="0" customWidth="1"/>
    <x:col min="9" max="9" width="40" hidden="0" customWidth="1"/>
    <x:col min="10" max="10" width="40" hidden="0" customWidth="1"/>
  </x:cols>
  <x:sheetData>
    <x:row r="1" ht="34" customHeight="1">
      <x:c r="A1" s="4" t="str">
        <x:v>直接配方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0" customHeight="1">
      <x:c r="A2" s="9" t="str">
        <x:v>D列来自本次原子量计量或H假设；E列为该配方主产出基准；F=D/E。修改D/E将联动所有物料矩阵。催化/能耗与缺口不能自动归零。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</x:row>
    <x:row r="5" ht="38" customHeight="1">
      <x:c r="A5" s="15" t="str">
        <x:v>主产品ID</x:v>
      </x:c>
      <x:c r="B5" s="15" t="str">
        <x:v>主产品</x:v>
      </x:c>
      <x:c r="C5" s="15" t="str">
        <x:v>投入ID</x:v>
      </x:c>
      <x:c r="D5" s="15" t="str">
        <x:v>基础投入量</x:v>
      </x:c>
      <x:c r="E5" s="15" t="str">
        <x:v>主产出基准</x:v>
      </x:c>
      <x:c r="F5" s="15" t="str">
        <x:v>单位投入系数</x:v>
      </x:c>
      <x:c r="G5" s="15" t="str">
        <x:v>投入单位</x:v>
      </x:c>
      <x:c r="H5" s="15" t="str">
        <x:v>等级</x:v>
      </x:c>
      <x:c r="I5" s="15" t="str">
        <x:v>路线/限定</x:v>
      </x:c>
      <x:c r="J5" s="15" t="str">
        <x:v>来源URL</x:v>
      </x:c>
    </x:row>
    <x:row r="6" ht="40" customHeight="1">
      <x:c r="A6" s="22" t="str">
        <x:v>M_W</x:v>
      </x:c>
      <x:c r="B6" s="22" t="str">
        <x:v>净水</x:v>
      </x:c>
      <x:c r="C6" s="22" t="str">
        <x:v>R01</x:v>
      </x:c>
      <x:c r="D6" s="30" t="n">
        <x:v>1</x:v>
      </x:c>
      <x:c r="E6" s="30" t="n">
        <x:v>1</x:v>
      </x:c>
      <x:c r="F6" s="31" t="n">
        <x:f>D6/E6</x:f>
        <x:v>1</x:v>
      </x:c>
      <x:c r="G6" s="22" t="str">
        <x:v>kg有效组分当量</x:v>
      </x:c>
      <x:c r="H6" s="22" t="str">
        <x:v>T</x:v>
      </x:c>
      <x:c r="I6" s="22" t="str">
        <x:v>理想熔融净化物料值；采收、去盐与处理能耗另列。</x:v>
      </x:c>
      <x:c r="J6" s="22" t="str">
        <x:v>https://www.usgs.gov/publications/subsurface-water-ice-mapping-mars-a-probabilistic-approach</x:v>
      </x:c>
    </x:row>
    <x:row r="7" ht="40" customHeight="1">
      <x:c r="A7" s="22" t="str">
        <x:v>M_H2</x:v>
      </x:c>
      <x:c r="B7" s="22" t="str">
        <x:v>氢气</x:v>
      </x:c>
      <x:c r="C7" s="22" t="str">
        <x:v>M_W</x:v>
      </x:c>
      <x:c r="D7" s="30" t="n">
        <x:v>8.936011904761905</x:v>
      </x:c>
      <x:c r="E7" s="30" t="n">
        <x:v>1</x:v>
      </x:c>
      <x:c r="F7" s="31" t="n">
        <x:f>D7/E7</x:f>
        <x:v>8.936011904761905</x:v>
      </x:c>
      <x:c r="G7" s="22" t="str">
        <x:v>kg</x:v>
      </x:c>
      <x:c r="H7" s="22" t="str">
        <x:v>T</x:v>
      </x:c>
      <x:c r="I7" s="22" t="str">
        <x:v>水电解；氧气是副产品，不再次免费重复生成。</x:v>
      </x:c>
      <x:c r="J7" s="22" t="str">
        <x:v>https://ntrs.nasa.gov/citations/19910014303</x:v>
      </x:c>
    </x:row>
    <x:row r="8" ht="40" customHeight="1">
      <x:c r="A8" s="22" t="str">
        <x:v>M_O2</x:v>
      </x:c>
      <x:c r="B8" s="22" t="str">
        <x:v>氧气</x:v>
      </x:c>
      <x:c r="C8" s="22" t="str">
        <x:v>R02</x:v>
      </x:c>
      <x:c r="D8" s="30" t="n">
        <x:v>2.7507344209013063</x:v>
      </x:c>
      <x:c r="E8" s="30" t="n">
        <x:v>1</x:v>
      </x:c>
      <x:c r="F8" s="31" t="n">
        <x:f>D8/E8</x:f>
        <x:v>2.7507344209013063</x:v>
      </x:c>
      <x:c r="G8" s="22" t="str">
        <x:v>kg有效组分当量</x:v>
      </x:c>
      <x:c r="H8" s="22" t="str">
        <x:v>T</x:v>
      </x:c>
      <x:c r="I8" s="22" t="str">
        <x:v>选择CO2固体氧化物电解作为独立制氧路线。</x:v>
      </x:c>
      <x:c r="J8" s="22" t="str">
        <x:v>https://www.nasa.gov/solar-system/nasas-oxygen-generating-experiment-moxie-completes-mars-mission/</x:v>
      </x:c>
    </x:row>
    <x:row r="9" ht="40" customHeight="1">
      <x:c r="A9" s="22" t="str">
        <x:v>M_C</x:v>
      </x:c>
      <x:c r="B9" s="22" t="str">
        <x:v>工艺碳</x:v>
      </x:c>
      <x:c r="C9" s="22" t="str">
        <x:v>R02</x:v>
      </x:c>
      <x:c r="D9" s="30" t="n">
        <x:v>3.664057946882025</x:v>
      </x:c>
      <x:c r="E9" s="30" t="n">
        <x:v>1</x:v>
      </x:c>
      <x:c r="F9" s="31" t="n">
        <x:f>D9/E9</x:f>
        <x:v>3.664057946882025</x:v>
      </x:c>
      <x:c r="G9" s="22" t="str">
        <x:v>kg有效组分当量</x:v>
      </x:c>
      <x:c r="H9" s="22" t="str">
        <x:v>T</x:v>
      </x:c>
      <x:c r="I9" s="22" t="str">
        <x:v>Bosch路线理想总计量；碳的晶型/纯度和设备尚需定义。</x:v>
      </x:c>
      <x:c r="J9" s="22" t="str">
        <x:v>https://ntrs.nasa.gov/citations/19910014303</x:v>
      </x:c>
    </x:row>
    <x:row r="10" ht="40" customHeight="1">
      <x:c r="A10" s="22" t="str">
        <x:v>M_C</x:v>
      </x:c>
      <x:c r="B10" s="22" t="str">
        <x:v>工艺碳</x:v>
      </x:c>
      <x:c r="C10" s="22" t="str">
        <x:v>M_H2</x:v>
      </x:c>
      <x:c r="D10" s="30" t="n">
        <x:v>0.3356922820747648</x:v>
      </x:c>
      <x:c r="E10" s="30" t="n">
        <x:v>1</x:v>
      </x:c>
      <x:c r="F10" s="31" t="n">
        <x:f>D10/E10</x:f>
        <x:v>0.3356922820747648</x:v>
      </x:c>
      <x:c r="G10" s="22" t="str">
        <x:v>kg</x:v>
      </x:c>
      <x:c r="H10" s="22" t="str">
        <x:v>T</x:v>
      </x:c>
      <x:c r="I10" s="22" t="str">
        <x:v>Bosch路线理想总计量；碳的晶型/纯度和设备尚需定义。</x:v>
      </x:c>
      <x:c r="J10" s="22" t="str">
        <x:v>https://ntrs.nasa.gov/citations/19910014303</x:v>
      </x:c>
    </x:row>
    <x:row r="11" ht="40" customHeight="1">
      <x:c r="A11" s="22" t="str">
        <x:v>M_FE</x:v>
      </x:c>
      <x:c r="B11" s="22" t="str">
        <x:v>还原铁</x:v>
      </x:c>
      <x:c r="C11" s="22" t="str">
        <x:v>R07</x:v>
      </x:c>
      <x:c r="D11" s="30" t="n">
        <x:v>1.429734085414988</x:v>
      </x:c>
      <x:c r="E11" s="30" t="n">
        <x:v>1</x:v>
      </x:c>
      <x:c r="F11" s="31" t="n">
        <x:f>D11/E11</x:f>
        <x:v>1.429734085414988</x:v>
      </x:c>
      <x:c r="G11" s="22" t="str">
        <x:v>kg有效组分当量</x:v>
      </x:c>
      <x:c r="H11" s="22" t="str">
        <x:v>T</x:v>
      </x:c>
      <x:c r="I11" s="22" t="str">
        <x:v>Fe2O3当量+H2；原矿矿相与还原性能不能从总FeO浓度直接推出。</x:v>
      </x:c>
      <x:c r="J11" s="22" t="str">
        <x:v>https://ntrs.nasa.gov/citations/20120016264</x:v>
      </x:c>
    </x:row>
    <x:row r="12" ht="40" customHeight="1">
      <x:c r="A12" s="22" t="str">
        <x:v>M_FE</x:v>
      </x:c>
      <x:c r="B12" s="22" t="str">
        <x:v>还原铁</x:v>
      </x:c>
      <x:c r="C12" s="22" t="str">
        <x:v>M_H2</x:v>
      </x:c>
      <x:c r="D12" s="30" t="n">
        <x:v>0.05414987912973409</x:v>
      </x:c>
      <x:c r="E12" s="30" t="n">
        <x:v>1</x:v>
      </x:c>
      <x:c r="F12" s="31" t="n">
        <x:f>D12/E12</x:f>
        <x:v>0.05414987912973409</x:v>
      </x:c>
      <x:c r="G12" s="22" t="str">
        <x:v>kg</x:v>
      </x:c>
      <x:c r="H12" s="22" t="str">
        <x:v>T</x:v>
      </x:c>
      <x:c r="I12" s="22" t="str">
        <x:v>Fe2O3当量+H2；原矿矿相与还原性能不能从总FeO浓度直接推出。</x:v>
      </x:c>
      <x:c r="J12" s="22" t="str">
        <x:v>https://ntrs.nasa.gov/citations/20120016264</x:v>
      </x:c>
    </x:row>
    <x:row r="13" ht="40" customHeight="1">
      <x:c r="A13" s="22" t="str">
        <x:v>M_ST</x:v>
      </x:c>
      <x:c r="B13" s="22" t="str">
        <x:v>低碳钢材料</x:v>
      </x:c>
      <x:c r="C13" s="22" t="str">
        <x:v>M_FE</x:v>
      </x:c>
      <x:c r="D13" s="30" t="n">
        <x:v>0.998</x:v>
      </x:c>
      <x:c r="E13" s="30" t="n">
        <x:v>1</x:v>
      </x:c>
      <x:c r="F13" s="31" t="n">
        <x:f>D13/E13</x:f>
        <x:v>0.998</x:v>
      </x:c>
      <x:c r="G13" s="22" t="str">
        <x:v>kg</x:v>
      </x:c>
      <x:c r="H13" s="22" t="str">
        <x:v>H/T</x:v>
      </x:c>
      <x:c r="I13" s="22" t="str">
        <x:v>0.2%碳情景；不是合格承压/耐蚀钢标准；合金与质量控制缺口另标。</x:v>
      </x:c>
      <x:c r="J13" s="22" t="str">
        <x:v>本回答设定；不是文献实测</x:v>
      </x:c>
    </x:row>
    <x:row r="14" ht="40" customHeight="1">
      <x:c r="A14" s="22" t="str">
        <x:v>M_ST</x:v>
      </x:c>
      <x:c r="B14" s="22" t="str">
        <x:v>低碳钢材料</x:v>
      </x:c>
      <x:c r="C14" s="22" t="str">
        <x:v>M_C</x:v>
      </x:c>
      <x:c r="D14" s="30" t="n">
        <x:v>0.002</x:v>
      </x:c>
      <x:c r="E14" s="30" t="n">
        <x:v>1</x:v>
      </x:c>
      <x:c r="F14" s="31" t="n">
        <x:f>D14/E14</x:f>
        <x:v>0.002</x:v>
      </x:c>
      <x:c r="G14" s="22" t="str">
        <x:v>kg</x:v>
      </x:c>
      <x:c r="H14" s="22" t="str">
        <x:v>H/T</x:v>
      </x:c>
      <x:c r="I14" s="22" t="str">
        <x:v>0.2%碳情景；不是合格承压/耐蚀钢标准；合金与质量控制缺口另标。</x:v>
      </x:c>
      <x:c r="J14" s="22" t="str">
        <x:v>本回答设定；不是文献实测</x:v>
      </x:c>
    </x:row>
    <x:row r="15" ht="40" customHeight="1">
      <x:c r="A15" s="22" t="str">
        <x:v>M_CU</x:v>
      </x:c>
      <x:c r="B15" s="22" t="str">
        <x:v>金属铜</x:v>
      </x:c>
      <x:c r="C15" s="22" t="str">
        <x:v>R14</x:v>
      </x:c>
      <x:c r="D15" s="30" t="n">
        <x:v>1.2517703710697763</x:v>
      </x:c>
      <x:c r="E15" s="30" t="n">
        <x:v>1</x:v>
      </x:c>
      <x:c r="F15" s="31" t="n">
        <x:f>D15/E15</x:f>
        <x:v>1.2517703710697763</x:v>
      </x:c>
      <x:c r="G15" s="22" t="str">
        <x:v>kg有效组分当量</x:v>
      </x:c>
      <x:c r="H15" s="22" t="str">
        <x:v>T/U</x:v>
      </x:c>
      <x:c r="I15" s="22" t="str">
        <x:v>氧化铜等效进料；真实硫化铜矿需要增加选冶路线。</x:v>
      </x:c>
      <x:c r="J15" s="22" t="str">
        <x:v>本回答设定；不是文献实测</x:v>
      </x:c>
    </x:row>
    <x:row r="16" ht="40" customHeight="1">
      <x:c r="A16" s="22" t="str">
        <x:v>M_CU</x:v>
      </x:c>
      <x:c r="B16" s="22" t="str">
        <x:v>金属铜</x:v>
      </x:c>
      <x:c r="C16" s="22" t="str">
        <x:v>M_H2</x:v>
      </x:c>
      <x:c r="D16" s="30" t="n">
        <x:v>0.031725049570389956</x:v>
      </x:c>
      <x:c r="E16" s="30" t="n">
        <x:v>1</x:v>
      </x:c>
      <x:c r="F16" s="31" t="n">
        <x:f>D16/E16</x:f>
        <x:v>0.031725049570389956</x:v>
      </x:c>
      <x:c r="G16" s="22" t="str">
        <x:v>kg</x:v>
      </x:c>
      <x:c r="H16" s="22" t="str">
        <x:v>T/U</x:v>
      </x:c>
      <x:c r="I16" s="22" t="str">
        <x:v>氧化铜等效进料；真实硫化铜矿需要增加选冶路线。</x:v>
      </x:c>
      <x:c r="J16" s="22" t="str">
        <x:v>本回答设定；不是文献实测</x:v>
      </x:c>
    </x:row>
    <x:row r="17" ht="40" customHeight="1">
      <x:c r="A17" s="22" t="str">
        <x:v>M_NI</x:v>
      </x:c>
      <x:c r="B17" s="22" t="str">
        <x:v>金属镍</x:v>
      </x:c>
      <x:c r="C17" s="22" t="str">
        <x:v>R15</x:v>
      </x:c>
      <x:c r="D17" s="30" t="n">
        <x:v>1.2725878724890531</x:v>
      </x:c>
      <x:c r="E17" s="30" t="n">
        <x:v>1</x:v>
      </x:c>
      <x:c r="F17" s="31" t="n">
        <x:f>D17/E17</x:f>
        <x:v>1.2725878724890531</x:v>
      </x:c>
      <x:c r="G17" s="22" t="str">
        <x:v>kg有效组分当量</x:v>
      </x:c>
      <x:c r="H17" s="22" t="str">
        <x:v>T/U</x:v>
      </x:c>
      <x:c r="I17" s="22" t="str">
        <x:v>NiO当量路线；不是从任意火星岩土直接得到镍。</x:v>
      </x:c>
      <x:c r="J17" s="22" t="str">
        <x:v>本回答设定；不是文献实测</x:v>
      </x:c>
    </x:row>
    <x:row r="18" ht="40" customHeight="1">
      <x:c r="A18" s="22" t="str">
        <x:v>M_NI</x:v>
      </x:c>
      <x:c r="B18" s="22" t="str">
        <x:v>金属镍</x:v>
      </x:c>
      <x:c r="C18" s="22" t="str">
        <x:v>M_H2</x:v>
      </x:c>
      <x:c r="D18" s="30" t="n">
        <x:v>0.03434821869728929</x:v>
      </x:c>
      <x:c r="E18" s="30" t="n">
        <x:v>1</x:v>
      </x:c>
      <x:c r="F18" s="31" t="n">
        <x:f>D18/E18</x:f>
        <x:v>0.03434821869728929</x:v>
      </x:c>
      <x:c r="G18" s="22" t="str">
        <x:v>kg</x:v>
      </x:c>
      <x:c r="H18" s="22" t="str">
        <x:v>T/U</x:v>
      </x:c>
      <x:c r="I18" s="22" t="str">
        <x:v>NiO当量路线；不是从任意火星岩土直接得到镍。</x:v>
      </x:c>
      <x:c r="J18" s="22" t="str">
        <x:v>本回答设定；不是文献实测</x:v>
      </x:c>
    </x:row>
    <x:row r="19" ht="40" customHeight="1">
      <x:c r="A19" s="22" t="str">
        <x:v>M_AL</x:v>
      </x:c>
      <x:c r="B19" s="22" t="str">
        <x:v>金属铝</x:v>
      </x:c>
      <x:c r="C19" s="22" t="str">
        <x:v>R16</x:v>
      </x:c>
      <x:c r="D19" s="30" t="n">
        <x:v>1.8894262841894596</x:v>
      </x:c>
      <x:c r="E19" s="30" t="n">
        <x:v>1</x:v>
      </x:c>
      <x:c r="F19" s="31" t="n">
        <x:f>D19/E19</x:f>
        <x:v>1.8894262841894596</x:v>
      </x:c>
      <x:c r="G19" s="22" t="str">
        <x:v>kg有效组分当量</x:v>
      </x:c>
      <x:c r="H19" s="22" t="str">
        <x:v>T/U</x:v>
      </x:c>
      <x:c r="I19" s="22" t="str">
        <x:v>碳阳极电解的主物料计量；电解质/槽衬/铝土分离链未量化。</x:v>
      </x:c>
      <x:c r="J19" s="22" t="str">
        <x:v>本回答设定；不是文献实测</x:v>
      </x:c>
    </x:row>
    <x:row r="20" ht="40" customHeight="1">
      <x:c r="A20" s="22" t="str">
        <x:v>M_AL</x:v>
      </x:c>
      <x:c r="B20" s="22" t="str">
        <x:v>金属铝</x:v>
      </x:c>
      <x:c r="C20" s="22" t="str">
        <x:v>M_C</x:v>
      </x:c>
      <x:c r="D20" s="30" t="n">
        <x:v>0.3338614631976874</x:v>
      </x:c>
      <x:c r="E20" s="30" t="n">
        <x:v>1</x:v>
      </x:c>
      <x:c r="F20" s="31" t="n">
        <x:f>D20/E20</x:f>
        <x:v>0.3338614631976874</x:v>
      </x:c>
      <x:c r="G20" s="22" t="str">
        <x:v>kg</x:v>
      </x:c>
      <x:c r="H20" s="22" t="str">
        <x:v>T/U</x:v>
      </x:c>
      <x:c r="I20" s="22" t="str">
        <x:v>碳阳极电解的主物料计量；电解质/槽衬/铝土分离链未量化。</x:v>
      </x:c>
      <x:c r="J20" s="22" t="str">
        <x:v>本回答设定；不是文献实测</x:v>
      </x:c>
    </x:row>
    <x:row r="21" ht="40" customHeight="1">
      <x:c r="A21" s="22" t="str">
        <x:v>M_AG</x:v>
      </x:c>
      <x:c r="B21" s="22" t="str">
        <x:v>金属银</x:v>
      </x:c>
      <x:c r="C21" s="22" t="str">
        <x:v>R17</x:v>
      </x:c>
      <x:c r="D21" s="30" t="n">
        <x:v>1.1486072818495163</x:v>
      </x:c>
      <x:c r="E21" s="30" t="n">
        <x:v>1</x:v>
      </x:c>
      <x:c r="F21" s="31" t="n">
        <x:f>D21/E21</x:f>
        <x:v>1.1486072818495163</x:v>
      </x:c>
      <x:c r="G21" s="22" t="str">
        <x:v>kg有效组分当量</x:v>
      </x:c>
      <x:c r="H21" s="22" t="str">
        <x:v>T/U</x:v>
      </x:c>
      <x:c r="I21" s="22" t="str">
        <x:v>硫化银氧化总计量；矿床假设。</x:v>
      </x:c>
      <x:c r="J21" s="22" t="str">
        <x:v>本回答设定；不是文献实测</x:v>
      </x:c>
    </x:row>
    <x:row r="22" ht="40" customHeight="1">
      <x:c r="A22" s="22" t="str">
        <x:v>M_AG</x:v>
      </x:c>
      <x:c r="B22" s="22" t="str">
        <x:v>金属银</x:v>
      </x:c>
      <x:c r="C22" s="22" t="str">
        <x:v>M_O2</x:v>
      </x:c>
      <x:c r="D22" s="30" t="n">
        <x:v>0.14831989409297644</x:v>
      </x:c>
      <x:c r="E22" s="30" t="n">
        <x:v>1</x:v>
      </x:c>
      <x:c r="F22" s="31" t="n">
        <x:f>D22/E22</x:f>
        <x:v>0.14831989409297644</x:v>
      </x:c>
      <x:c r="G22" s="22" t="str">
        <x:v>kg</x:v>
      </x:c>
      <x:c r="H22" s="22" t="str">
        <x:v>T/U</x:v>
      </x:c>
      <x:c r="I22" s="22" t="str">
        <x:v>硫化银氧化总计量；矿床假设。</x:v>
      </x:c>
      <x:c r="J22" s="22" t="str">
        <x:v>本回答设定；不是文献实测</x:v>
      </x:c>
    </x:row>
    <x:row r="23" ht="40" customHeight="1">
      <x:c r="A23" s="22" t="str">
        <x:v>M_SN</x:v>
      </x:c>
      <x:c r="B23" s="22" t="str">
        <x:v>金属锡</x:v>
      </x:c>
      <x:c r="C23" s="22" t="str">
        <x:v>R20</x:v>
      </x:c>
      <x:c r="D23" s="30" t="n">
        <x:v>1.2695476370988124</x:v>
      </x:c>
      <x:c r="E23" s="30" t="n">
        <x:v>1</x:v>
      </x:c>
      <x:c r="F23" s="31" t="n">
        <x:f>D23/E23</x:f>
        <x:v>1.2695476370988124</x:v>
      </x:c>
      <x:c r="G23" s="22" t="str">
        <x:v>kg有效组分当量</x:v>
      </x:c>
      <x:c r="H23" s="22" t="str">
        <x:v>T/U</x:v>
      </x:c>
      <x:c r="I23" s="22" t="str"/>
      <x:c r="J23" s="22" t="str">
        <x:v>本回答设定；不是文献实测</x:v>
      </x:c>
    </x:row>
    <x:row r="24" ht="40" customHeight="1">
      <x:c r="A24" s="22" t="str">
        <x:v>M_SN</x:v>
      </x:c>
      <x:c r="B24" s="22" t="str">
        <x:v>金属锡</x:v>
      </x:c>
      <x:c r="C24" s="22" t="str">
        <x:v>M_H2</x:v>
      </x:c>
      <x:c r="D24" s="30" t="n">
        <x:v>0.03396512509476877</x:v>
      </x:c>
      <x:c r="E24" s="30" t="n">
        <x:v>1</x:v>
      </x:c>
      <x:c r="F24" s="31" t="n">
        <x:f>D24/E24</x:f>
        <x:v>0.03396512509476877</x:v>
      </x:c>
      <x:c r="G24" s="22" t="str">
        <x:v>kg</x:v>
      </x:c>
      <x:c r="H24" s="22" t="str">
        <x:v>T/U</x:v>
      </x:c>
      <x:c r="I24" s="22" t="str"/>
      <x:c r="J24" s="22" t="str">
        <x:v>本回答设定；不是文献实测</x:v>
      </x:c>
    </x:row>
    <x:row r="25" ht="40" customHeight="1">
      <x:c r="A25" s="22" t="str">
        <x:v>M_SI</x:v>
      </x:c>
      <x:c r="B25" s="22" t="str">
        <x:v>工业硅</x:v>
      </x:c>
      <x:c r="C25" s="22" t="str">
        <x:v>R06</x:v>
      </x:c>
      <x:c r="D25" s="30" t="n">
        <x:v>2.1393270429054656</x:v>
      </x:c>
      <x:c r="E25" s="30" t="n">
        <x:v>1</x:v>
      </x:c>
      <x:c r="F25" s="31" t="n">
        <x:f>D25/E25</x:f>
        <x:v>2.1393270429054656</x:v>
      </x:c>
      <x:c r="G25" s="22" t="str">
        <x:v>kg有效组分当量</x:v>
      </x:c>
      <x:c r="H25" s="22" t="str">
        <x:v>T</x:v>
      </x:c>
      <x:c r="I25" s="22" t="str">
        <x:v>SiO2+2C→Si+2CO；工业硅不是太阳能级硅。</x:v>
      </x:c>
      <x:c r="J25" s="22" t="str">
        <x:v>https://www.energy.gov/cmei/systems/crystalline-silicon-photovoltaics-research</x:v>
      </x:c>
    </x:row>
    <x:row r="26" ht="40" customHeight="1">
      <x:c r="A26" s="22" t="str">
        <x:v>M_SI</x:v>
      </x:c>
      <x:c r="B26" s="22" t="str">
        <x:v>工业硅</x:v>
      </x:c>
      <x:c r="C26" s="22" t="str">
        <x:v>M_C</x:v>
      </x:c>
      <x:c r="D26" s="30" t="n">
        <x:v>0.8553320277728323</x:v>
      </x:c>
      <x:c r="E26" s="30" t="n">
        <x:v>1</x:v>
      </x:c>
      <x:c r="F26" s="31" t="n">
        <x:f>D26/E26</x:f>
        <x:v>0.8553320277728323</x:v>
      </x:c>
      <x:c r="G26" s="22" t="str">
        <x:v>kg</x:v>
      </x:c>
      <x:c r="H26" s="22" t="str">
        <x:v>T</x:v>
      </x:c>
      <x:c r="I26" s="22" t="str">
        <x:v>SiO2+2C→Si+2CO；工业硅不是太阳能级硅。</x:v>
      </x:c>
      <x:c r="J26" s="22" t="str">
        <x:v>https://www.energy.gov/cmei/systems/crystalline-silicon-photovoltaics-research</x:v>
      </x:c>
    </x:row>
    <x:row r="27" ht="40" customHeight="1">
      <x:c r="A27" s="22" t="str">
        <x:v>M_SIP</x:v>
      </x:c>
      <x:c r="B27" s="22" t="str">
        <x:v>太阳能级硅</x:v>
      </x:c>
      <x:c r="C27" s="22" t="str">
        <x:v>M_SI</x:v>
      </x:c>
      <x:c r="D27" s="30" t="n">
        <x:v>1.1111111111111112</x:v>
      </x:c>
      <x:c r="E27" s="30" t="n">
        <x:v>1</x:v>
      </x:c>
      <x:c r="F27" s="31" t="n">
        <x:f>D27/E27</x:f>
        <x:v>1.1111111111111112</x:v>
      </x:c>
      <x:c r="G27" s="22" t="str">
        <x:v>kg</x:v>
      </x:c>
      <x:c r="H27" s="22" t="str">
        <x:v>H</x:v>
      </x:c>
      <x:c r="I27" s="22" t="str">
        <x:v>90%材料收得率为假设；HCl/H2循环启动及杂质清除未由此证明。</x:v>
      </x:c>
      <x:c r="J27" s="22" t="str">
        <x:v>https://www.energy.gov/cmei/systems/crystalline-silicon-photovoltaics-research
https://www.energy.gov/cmei/systems/solar-photovoltaic-manufacturing-basics</x:v>
      </x:c>
    </x:row>
    <x:row r="28" ht="40" customHeight="1">
      <x:c r="A28" s="22" t="str">
        <x:v>M_MEOH</x:v>
      </x:c>
      <x:c r="B28" s="22" t="str">
        <x:v>甲醇</x:v>
      </x:c>
      <x:c r="C28" s="22" t="str">
        <x:v>R02</x:v>
      </x:c>
      <x:c r="D28" s="30" t="n">
        <x:v>1.3734785593907994</x:v>
      </x:c>
      <x:c r="E28" s="30" t="n">
        <x:v>1</x:v>
      </x:c>
      <x:c r="F28" s="31" t="n">
        <x:f>D28/E28</x:f>
        <x:v>1.3734785593907994</x:v>
      </x:c>
      <x:c r="G28" s="22" t="str">
        <x:v>kg有效组分当量</x:v>
      </x:c>
      <x:c r="H28" s="22" t="str">
        <x:v>T</x:v>
      </x:c>
      <x:c r="I28" s="22" t="str"/>
      <x:c r="J28" s="22" t="str">
        <x:v>https://ntrs.nasa.gov/citations/19910014303</x:v>
      </x:c>
    </x:row>
    <x:row r="29" ht="40" customHeight="1">
      <x:c r="A29" s="22" t="str">
        <x:v>M_MEOH</x:v>
      </x:c>
      <x:c r="B29" s="22" t="str">
        <x:v>甲醇</x:v>
      </x:c>
      <x:c r="C29" s="22" t="str">
        <x:v>M_H2</x:v>
      </x:c>
      <x:c r="D29" s="30" t="n">
        <x:v>0.18875226265526496</x:v>
      </x:c>
      <x:c r="E29" s="30" t="n">
        <x:v>1</x:v>
      </x:c>
      <x:c r="F29" s="31" t="n">
        <x:f>D29/E29</x:f>
        <x:v>0.18875226265526496</x:v>
      </x:c>
      <x:c r="G29" s="22" t="str">
        <x:v>kg</x:v>
      </x:c>
      <x:c r="H29" s="22" t="str">
        <x:v>T</x:v>
      </x:c>
      <x:c r="I29" s="22" t="str"/>
      <x:c r="J29" s="22" t="str">
        <x:v>https://ntrs.nasa.gov/citations/19910014303</x:v>
      </x:c>
    </x:row>
    <x:row r="30" ht="40" customHeight="1">
      <x:c r="A30" s="22" t="str">
        <x:v>M_PE</x:v>
      </x:c>
      <x:c r="B30" s="22" t="str">
        <x:v>聚乙烯</x:v>
      </x:c>
      <x:c r="C30" s="22" t="str">
        <x:v>M_MEOH</x:v>
      </x:c>
      <x:c r="D30" s="30" t="n">
        <x:v>2.2843088329649963</x:v>
      </x:c>
      <x:c r="E30" s="30" t="n">
        <x:v>1</x:v>
      </x:c>
      <x:c r="F30" s="31" t="n">
        <x:f>D30/E30</x:f>
        <x:v>2.2843088329649963</x:v>
      </x:c>
      <x:c r="G30" s="22" t="str">
        <x:v>kg</x:v>
      </x:c>
      <x:c r="H30" s="22" t="str">
        <x:v>T/H</x:v>
      </x:c>
      <x:c r="I30" s="22" t="str">
        <x:v>甲醇制烯烃—聚合理想主计量；催化剂/选择性/聚合控制待校准。</x:v>
      </x:c>
      <x:c r="J30" s="22" t="str">
        <x:v>https://ntrs.nasa.gov/citations/19910014303</x:v>
      </x:c>
    </x:row>
    <x:row r="31" ht="40" customHeight="1">
      <x:c r="A31" s="22" t="str">
        <x:v>M_PDMS</x:v>
      </x:c>
      <x:c r="B31" s="22" t="str">
        <x:v>硅橡胶基体PDMS</x:v>
      </x:c>
      <x:c r="C31" s="22" t="str">
        <x:v>M_SI</x:v>
      </x:c>
      <x:c r="D31" s="30" t="n">
        <x:v>0.3787388407907868</x:v>
      </x:c>
      <x:c r="E31" s="30" t="n">
        <x:v>1</x:v>
      </x:c>
      <x:c r="F31" s="31" t="n">
        <x:f>D31/E31</x:f>
        <x:v>0.3787388407907868</x:v>
      </x:c>
      <x:c r="G31" s="22" t="str">
        <x:v>kg</x:v>
      </x:c>
      <x:c r="H31" s="22" t="str">
        <x:v>T/H</x:v>
      </x:c>
      <x:c r="I31" s="22" t="str">
        <x:v>甲基氯硅烷—水解缩聚路线的闭合氯载体理想总计量；不是工艺操作配方。</x:v>
      </x:c>
      <x:c r="J31" s="22" t="str">
        <x:v>本回答设定；不是文献实测</x:v>
      </x:c>
    </x:row>
    <x:row r="32" ht="40" customHeight="1">
      <x:c r="A32" s="22" t="str">
        <x:v>M_PDMS</x:v>
      </x:c>
      <x:c r="B32" s="22" t="str">
        <x:v>硅橡胶基体PDMS</x:v>
      </x:c>
      <x:c r="C32" s="22" t="str">
        <x:v>M_MEOH</x:v>
      </x:c>
      <x:c r="D32" s="30" t="n">
        <x:v>0.8642015265528495</x:v>
      </x:c>
      <x:c r="E32" s="30" t="n">
        <x:v>1</x:v>
      </x:c>
      <x:c r="F32" s="31" t="n">
        <x:f>D32/E32</x:f>
        <x:v>0.8642015265528495</x:v>
      </x:c>
      <x:c r="G32" s="22" t="str">
        <x:v>kg</x:v>
      </x:c>
      <x:c r="H32" s="22" t="str">
        <x:v>T/H</x:v>
      </x:c>
      <x:c r="I32" s="22" t="str">
        <x:v>甲基氯硅烷—水解缩聚路线的闭合氯载体理想总计量；不是工艺操作配方。</x:v>
      </x:c>
      <x:c r="J32" s="22" t="str">
        <x:v>本回答设定；不是文献实测</x:v>
      </x:c>
    </x:row>
    <x:row r="33" ht="40" customHeight="1">
      <x:c r="A33" s="22" t="str">
        <x:v>M_GL</x:v>
      </x:c>
      <x:c r="B33" s="22" t="str">
        <x:v>熔融石英玻璃</x:v>
      </x:c>
      <x:c r="C33" s="22" t="str">
        <x:v>R06</x:v>
      </x:c>
      <x:c r="D33" s="30" t="n">
        <x:v>1.0526315789473684</x:v>
      </x:c>
      <x:c r="E33" s="30" t="n">
        <x:v>1</x:v>
      </x:c>
      <x:c r="F33" s="31" t="n">
        <x:f>D33/E33</x:f>
        <x:v>1.0526315789473684</x:v>
      </x:c>
      <x:c r="G33" s="22" t="str">
        <x:v>kg有效组分当量</x:v>
      </x:c>
      <x:c r="H33" s="22" t="str">
        <x:v>H</x:v>
      </x:c>
      <x:c r="I33" s="22" t="str">
        <x:v>95%成材率假设；光学、机械质量及纯化需验证。</x:v>
      </x:c>
      <x:c r="J33" s="22" t="str">
        <x:v>https://science.nasa.gov/photojournal/silica-rich-soil-found-by-spirit/</x:v>
      </x:c>
    </x:row>
    <x:row r="34" ht="40" customHeight="1">
      <x:c r="A34" s="22" t="str">
        <x:v>M_CER</x:v>
      </x:c>
      <x:c r="B34" s="22" t="str">
        <x:v>烧结陶瓷/耐火件</x:v>
      </x:c>
      <x:c r="C34" s="22" t="str">
        <x:v>R05</x:v>
      </x:c>
      <x:c r="D34" s="30" t="n">
        <x:v>1.1111111111111112</x:v>
      </x:c>
      <x:c r="E34" s="30" t="n">
        <x:v>1</x:v>
      </x:c>
      <x:c r="F34" s="31" t="n">
        <x:f>D34/E34</x:f>
        <x:v>1.1111111111111112</x:v>
      </x:c>
      <x:c r="G34" s="22" t="str">
        <x:v>kg有效组分当量</x:v>
      </x:c>
      <x:c r="H34" s="22" t="str">
        <x:v>H</x:v>
      </x:c>
      <x:c r="I34" s="22" t="str">
        <x:v>90%合格成材率假设；耐火等级待材料试验。</x:v>
      </x:c>
      <x:c r="J34" s="22" t="str">
        <x:v>https://ntrs.nasa.gov/citations/20150010765</x:v>
      </x:c>
    </x:row>
    <x:row r="35" ht="40" customHeight="1">
      <x:c r="A35" s="22" t="str">
        <x:v>M_FIB</x:v>
      </x:c>
      <x:c r="B35" s="22" t="str">
        <x:v>玄武岩纤维/岩棉</x:v>
      </x:c>
      <x:c r="C35" s="22" t="str">
        <x:v>R05</x:v>
      </x:c>
      <x:c r="D35" s="30" t="n">
        <x:v>1.1111111111111112</x:v>
      </x:c>
      <x:c r="E35" s="30" t="n">
        <x:v>1</x:v>
      </x:c>
      <x:c r="F35" s="31" t="n">
        <x:f>D35/E35</x:f>
        <x:v>1.1111111111111112</x:v>
      </x:c>
      <x:c r="G35" s="22" t="str">
        <x:v>kg有效组分当量</x:v>
      </x:c>
      <x:c r="H35" s="22" t="str">
        <x:v>H</x:v>
      </x:c>
      <x:c r="I35" s="22" t="str">
        <x:v>熔融—纤维化候选；不设万能粘结剂/工艺窗口。</x:v>
      </x:c>
      <x:c r="J35" s="22" t="str">
        <x:v>本回答设定；不是文献实测</x:v>
      </x:c>
    </x:row>
    <x:row r="36" ht="40" customHeight="1">
      <x:c r="A36" s="22" t="str">
        <x:v>M_SEAL</x:v>
      </x:c>
      <x:c r="B36" s="22" t="str">
        <x:v>填充硅橡胶</x:v>
      </x:c>
      <x:c r="C36" s="22" t="str">
        <x:v>M_PDMS</x:v>
      </x:c>
      <x:c r="D36" s="30" t="n">
        <x:v>0.8</x:v>
      </x:c>
      <x:c r="E36" s="30" t="n">
        <x:v>1</x:v>
      </x:c>
      <x:c r="F36" s="31" t="n">
        <x:f>D36/E36</x:f>
        <x:v>0.8</x:v>
      </x:c>
      <x:c r="G36" s="22" t="str">
        <x:v>kg</x:v>
      </x:c>
      <x:c r="H36" s="22" t="str">
        <x:v>H</x:v>
      </x:c>
      <x:c r="I36" s="22" t="str">
        <x:v>80/20质量配方假设；交联/添加剂、辐射及耐温资格未闭合。</x:v>
      </x:c>
      <x:c r="J36" s="22" t="str">
        <x:v>本回答设定；不是文献实测</x:v>
      </x:c>
    </x:row>
    <x:row r="37" ht="40" customHeight="1">
      <x:c r="A37" s="22" t="str">
        <x:v>M_SEAL</x:v>
      </x:c>
      <x:c r="B37" s="22" t="str">
        <x:v>填充硅橡胶</x:v>
      </x:c>
      <x:c r="C37" s="22" t="str">
        <x:v>R06</x:v>
      </x:c>
      <x:c r="D37" s="30" t="n">
        <x:v>0.2</x:v>
      </x:c>
      <x:c r="E37" s="30" t="n">
        <x:v>1</x:v>
      </x:c>
      <x:c r="F37" s="31" t="n">
        <x:f>D37/E37</x:f>
        <x:v>0.2</x:v>
      </x:c>
      <x:c r="G37" s="22" t="str">
        <x:v>kg有效组分当量</x:v>
      </x:c>
      <x:c r="H37" s="22" t="str">
        <x:v>H</x:v>
      </x:c>
      <x:c r="I37" s="22" t="str">
        <x:v>80/20质量配方假设；交联/添加剂、辐射及耐温资格未闭合。</x:v>
      </x:c>
      <x:c r="J37" s="22" t="str">
        <x:v>本回答设定；不是文献实测</x:v>
      </x:c>
    </x:row>
    <x:row r="38" ht="40" customHeight="1">
      <x:c r="A38" s="22" t="str">
        <x:v>M_LUB</x:v>
      </x:c>
      <x:c r="B38" s="22" t="str">
        <x:v>合成润滑基料</x:v>
      </x:c>
      <x:c r="C38" s="22" t="str">
        <x:v>M_MEOH</x:v>
      </x:c>
      <x:c r="D38" s="30" t="n">
        <x:v>2.2843088329649963</x:v>
      </x:c>
      <x:c r="E38" s="30" t="n">
        <x:v>1</x:v>
      </x:c>
      <x:c r="F38" s="31" t="n">
        <x:f>D38/E38</x:f>
        <x:v>2.2843088329649963</x:v>
      </x:c>
      <x:c r="G38" s="22" t="str">
        <x:v>kg</x:v>
      </x:c>
      <x:c r="H38" s="22" t="str">
        <x:v>H/T</x:v>
      </x:c>
      <x:c r="I38" s="22" t="str">
        <x:v>以(CH2)n近似的基料质量计量，不代表合格润滑剂或特定黏度。</x:v>
      </x:c>
      <x:c r="J38" s="22" t="str">
        <x:v>本回答设定；不是文献实测</x:v>
      </x:c>
    </x:row>
    <x:row r="39" ht="40" customHeight="1">
      <x:c r="A39" s="22" t="str">
        <x:v>M_NH3</x:v>
      </x:c>
      <x:c r="B39" s="22" t="str">
        <x:v>氨</x:v>
      </x:c>
      <x:c r="C39" s="22" t="str">
        <x:v>R03</x:v>
      </x:c>
      <x:c r="D39" s="30" t="n">
        <x:v>0.8224414303329224</x:v>
      </x:c>
      <x:c r="E39" s="30" t="n">
        <x:v>1</x:v>
      </x:c>
      <x:c r="F39" s="31" t="n">
        <x:f>D39/E39</x:f>
        <x:v>0.8224414303329224</x:v>
      </x:c>
      <x:c r="G39" s="22" t="str">
        <x:v>kg有效组分当量</x:v>
      </x:c>
      <x:c r="H39" s="22" t="str">
        <x:v>T</x:v>
      </x:c>
      <x:c r="I39" s="22" t="str">
        <x:v>Haber-Bosch主计量；设备、纯化、催化与能量另计。</x:v>
      </x:c>
      <x:c r="J39" s="22" t="str">
        <x:v>https://ntrs.nasa.gov/citations/19910014303</x:v>
      </x:c>
    </x:row>
    <x:row r="40" ht="40" customHeight="1">
      <x:c r="A40" s="22" t="str">
        <x:v>M_NH3</x:v>
      </x:c>
      <x:c r="B40" s="22" t="str">
        <x:v>氨</x:v>
      </x:c>
      <x:c r="C40" s="22" t="str">
        <x:v>M_H2</x:v>
      </x:c>
      <x:c r="D40" s="30" t="n">
        <x:v>0.1775585696670777</x:v>
      </x:c>
      <x:c r="E40" s="30" t="n">
        <x:v>1</x:v>
      </x:c>
      <x:c r="F40" s="31" t="n">
        <x:f>D40/E40</x:f>
        <x:v>0.1775585696670777</x:v>
      </x:c>
      <x:c r="G40" s="22" t="str">
        <x:v>kg</x:v>
      </x:c>
      <x:c r="H40" s="22" t="str">
        <x:v>T</x:v>
      </x:c>
      <x:c r="I40" s="22" t="str">
        <x:v>Haber-Bosch主计量；设备、纯化、催化与能量另计。</x:v>
      </x:c>
      <x:c r="J40" s="22" t="str">
        <x:v>https://ntrs.nasa.gov/citations/19910014303</x:v>
      </x:c>
    </x:row>
    <x:row r="41" ht="40" customHeight="1">
      <x:c r="A41" s="22" t="str">
        <x:v>M_HNO3</x:v>
      </x:c>
      <x:c r="B41" s="22" t="str">
        <x:v>硝酸当量</x:v>
      </x:c>
      <x:c r="C41" s="22" t="str">
        <x:v>M_NH3</x:v>
      </x:c>
      <x:c r="D41" s="30" t="n">
        <x:v>0.2702818510759855</x:v>
      </x:c>
      <x:c r="E41" s="30" t="n">
        <x:v>1</x:v>
      </x:c>
      <x:c r="F41" s="31" t="n">
        <x:f>D41/E41</x:f>
        <x:v>0.2702818510759855</x:v>
      </x:c>
      <x:c r="G41" s="22" t="str">
        <x:v>kg</x:v>
      </x:c>
      <x:c r="H41" s="22" t="str">
        <x:v>T</x:v>
      </x:c>
      <x:c r="I41" s="22" t="str">
        <x:v>Ostwald过程总计量；催化材料在未量化项表。</x:v>
      </x:c>
      <x:c r="J41" s="22" t="str">
        <x:v>本回答设定；不是文献实测</x:v>
      </x:c>
    </x:row>
    <x:row r="42" ht="40" customHeight="1">
      <x:c r="A42" s="22" t="str">
        <x:v>M_HNO3</x:v>
      </x:c>
      <x:c r="B42" s="22" t="str">
        <x:v>硝酸当量</x:v>
      </x:c>
      <x:c r="C42" s="22" t="str">
        <x:v>M_O2</x:v>
      </x:c>
      <x:c r="D42" s="30" t="n">
        <x:v>1.0156160731289279</x:v>
      </x:c>
      <x:c r="E42" s="30" t="n">
        <x:v>1</x:v>
      </x:c>
      <x:c r="F42" s="31" t="n">
        <x:f>D42/E42</x:f>
        <x:v>1.0156160731289279</x:v>
      </x:c>
      <x:c r="G42" s="22" t="str">
        <x:v>kg</x:v>
      </x:c>
      <x:c r="H42" s="22" t="str">
        <x:v>T</x:v>
      </x:c>
      <x:c r="I42" s="22" t="str">
        <x:v>Ostwald过程总计量；催化材料在未量化项表。</x:v>
      </x:c>
      <x:c r="J42" s="22" t="str">
        <x:v>本回答设定；不是文献实测</x:v>
      </x:c>
    </x:row>
    <x:row r="43" ht="40" customHeight="1">
      <x:c r="A43" s="22" t="str">
        <x:v>M_ACID</x:v>
      </x:c>
      <x:c r="B43" s="22" t="str">
        <x:v>硫酸当量</x:v>
      </x:c>
      <x:c r="C43" s="22" t="str">
        <x:v>R09</x:v>
      </x:c>
      <x:c r="D43" s="30" t="n">
        <x:v>0.3269026837425565</x:v>
      </x:c>
      <x:c r="E43" s="30" t="n">
        <x:v>1</x:v>
      </x:c>
      <x:c r="F43" s="31" t="n">
        <x:f>D43/E43</x:f>
        <x:v>0.3269026837425565</x:v>
      </x:c>
      <x:c r="G43" s="22" t="str">
        <x:v>kg有效组分当量</x:v>
      </x:c>
      <x:c r="H43" s="22" t="str">
        <x:v>T</x:v>
      </x:c>
      <x:c r="I43" s="22" t="str">
        <x:v>工业总计量，不是操作/安全设计。</x:v>
      </x:c>
      <x:c r="J43" s="22" t="str">
        <x:v>本回答设定；不是文献实测</x:v>
      </x:c>
    </x:row>
    <x:row r="44" ht="40" customHeight="1">
      <x:c r="A44" s="22" t="str">
        <x:v>M_ACID</x:v>
      </x:c>
      <x:c r="B44" s="22" t="str">
        <x:v>硫酸当量</x:v>
      </x:c>
      <x:c r="C44" s="22" t="str">
        <x:v>M_O2</x:v>
      </x:c>
      <x:c r="D44" s="30" t="n">
        <x:v>0.48940574271963455</x:v>
      </x:c>
      <x:c r="E44" s="30" t="n">
        <x:v>1</x:v>
      </x:c>
      <x:c r="F44" s="31" t="n">
        <x:f>D44/E44</x:f>
        <x:v>0.48940574271963455</x:v>
      </x:c>
      <x:c r="G44" s="22" t="str">
        <x:v>kg</x:v>
      </x:c>
      <x:c r="H44" s="22" t="str">
        <x:v>T</x:v>
      </x:c>
      <x:c r="I44" s="22" t="str">
        <x:v>工业总计量，不是操作/安全设计。</x:v>
      </x:c>
      <x:c r="J44" s="22" t="str">
        <x:v>本回答设定；不是文献实测</x:v>
      </x:c>
    </x:row>
    <x:row r="45" ht="40" customHeight="1">
      <x:c r="A45" s="22" t="str">
        <x:v>M_ACID</x:v>
      </x:c>
      <x:c r="B45" s="22" t="str">
        <x:v>硫酸当量</x:v>
      </x:c>
      <x:c r="C45" s="22" t="str">
        <x:v>M_W</x:v>
      </x:c>
      <x:c r="D45" s="30" t="n">
        <x:v>0.18369157353780896</x:v>
      </x:c>
      <x:c r="E45" s="30" t="n">
        <x:v>1</x:v>
      </x:c>
      <x:c r="F45" s="31" t="n">
        <x:f>D45/E45</x:f>
        <x:v>0.18369157353780896</x:v>
      </x:c>
      <x:c r="G45" s="22" t="str">
        <x:v>kg</x:v>
      </x:c>
      <x:c r="H45" s="22" t="str">
        <x:v>T</x:v>
      </x:c>
      <x:c r="I45" s="22" t="str">
        <x:v>工业总计量，不是操作/安全设计。</x:v>
      </x:c>
      <x:c r="J45" s="22" t="str">
        <x:v>本回答设定；不是文献实测</x:v>
      </x:c>
    </x:row>
    <x:row r="46" ht="40" customHeight="1">
      <x:c r="A46" s="22" t="str">
        <x:v>M_PACID</x:v>
      </x:c>
      <x:c r="B46" s="22" t="str">
        <x:v>磷酸当量</x:v>
      </x:c>
      <x:c r="C46" s="22" t="str">
        <x:v>R10</x:v>
      </x:c>
      <x:c r="D46" s="30" t="n">
        <x:v>1.715404344483676</x:v>
      </x:c>
      <x:c r="E46" s="30" t="n">
        <x:v>1</x:v>
      </x:c>
      <x:c r="F46" s="31" t="n">
        <x:f>D46/E46</x:f>
        <x:v>1.715404344483676</x:v>
      </x:c>
      <x:c r="G46" s="22" t="str">
        <x:v>kg有效组分当量</x:v>
      </x:c>
      <x:c r="H46" s="22" t="str">
        <x:v>T</x:v>
      </x:c>
      <x:c r="I46" s="22" t="str">
        <x:v>按氟磷灰石和湿法酸解计算；实际磷矿杂质和肥料级提纯另计。</x:v>
      </x:c>
      <x:c r="J46" s="22" t="str">
        <x:v>本回答设定；不是文献实测</x:v>
      </x:c>
    </x:row>
    <x:row r="47" ht="40" customHeight="1">
      <x:c r="A47" s="22" t="str">
        <x:v>M_PACID</x:v>
      </x:c>
      <x:c r="B47" s="22" t="str">
        <x:v>磷酸当量</x:v>
      </x:c>
      <x:c r="C47" s="22" t="str">
        <x:v>M_ACID</x:v>
      </x:c>
      <x:c r="D47" s="30" t="n">
        <x:v>1.6679932785000444</x:v>
      </x:c>
      <x:c r="E47" s="30" t="n">
        <x:v>1</x:v>
      </x:c>
      <x:c r="F47" s="31" t="n">
        <x:f>D47/E47</x:f>
        <x:v>1.6679932785000444</x:v>
      </x:c>
      <x:c r="G47" s="22" t="str">
        <x:v>kg</x:v>
      </x:c>
      <x:c r="H47" s="22" t="str">
        <x:v>T</x:v>
      </x:c>
      <x:c r="I47" s="22" t="str">
        <x:v>按氟磷灰石和湿法酸解计算；实际磷矿杂质和肥料级提纯另计。</x:v>
      </x:c>
      <x:c r="J47" s="22" t="str">
        <x:v>本回答设定；不是文献实测</x:v>
      </x:c>
    </x:row>
    <x:row r="48" ht="40" customHeight="1">
      <x:c r="A48" s="22" t="str">
        <x:v>M_PACID</x:v>
      </x:c>
      <x:c r="B48" s="22" t="str">
        <x:v>磷酸当量</x:v>
      </x:c>
      <x:c r="C48" s="22" t="str">
        <x:v>M_W</x:v>
      </x:c>
      <x:c r="D48" s="30" t="n">
        <x:v>0.612792619956324</x:v>
      </x:c>
      <x:c r="E48" s="30" t="n">
        <x:v>1</x:v>
      </x:c>
      <x:c r="F48" s="31" t="n">
        <x:f>D48/E48</x:f>
        <x:v>0.612792619956324</x:v>
      </x:c>
      <x:c r="G48" s="22" t="str">
        <x:v>kg</x:v>
      </x:c>
      <x:c r="H48" s="22" t="str">
        <x:v>T</x:v>
      </x:c>
      <x:c r="I48" s="22" t="str">
        <x:v>按氟磷灰石和湿法酸解计算；实际磷矿杂质和肥料级提纯另计。</x:v>
      </x:c>
      <x:c r="J48" s="22" t="str">
        <x:v>本回答设定；不是文献实测</x:v>
      </x:c>
    </x:row>
    <x:row r="49" ht="40" customHeight="1">
      <x:c r="A49" s="22" t="str">
        <x:v>M_KOH</x:v>
      </x:c>
      <x:c r="B49" s="22" t="str">
        <x:v>氢氧化钾</x:v>
      </x:c>
      <x:c r="C49" s="22" t="str">
        <x:v>R11</x:v>
      </x:c>
      <x:c r="D49" s="30" t="n">
        <x:v>1.328722930220123</x:v>
      </x:c>
      <x:c r="E49" s="30" t="n">
        <x:v>1</x:v>
      </x:c>
      <x:c r="F49" s="31" t="n">
        <x:f>D49/E49</x:f>
        <x:v>1.328722930220123</x:v>
      </x:c>
      <x:c r="G49" s="22" t="str">
        <x:v>kg有效组分当量</x:v>
      </x:c>
      <x:c r="H49" s="22" t="str">
        <x:v>T/U</x:v>
      </x:c>
      <x:c r="I49" s="22" t="str">
        <x:v>氯碱电解主计量；指定钾盐矿为假设。</x:v>
      </x:c>
      <x:c r="J49" s="22" t="str">
        <x:v>本回答设定；不是文献实测</x:v>
      </x:c>
    </x:row>
    <x:row r="50" ht="40" customHeight="1">
      <x:c r="A50" s="22" t="str">
        <x:v>M_KOH</x:v>
      </x:c>
      <x:c r="B50" s="22" t="str">
        <x:v>氢氧化钾</x:v>
      </x:c>
      <x:c r="C50" s="22" t="str">
        <x:v>M_W</x:v>
      </x:c>
      <x:c r="D50" s="30" t="n">
        <x:v>0.32109437661527496</x:v>
      </x:c>
      <x:c r="E50" s="30" t="n">
        <x:v>1</x:v>
      </x:c>
      <x:c r="F50" s="31" t="n">
        <x:f>D50/E50</x:f>
        <x:v>0.32109437661527496</x:v>
      </x:c>
      <x:c r="G50" s="22" t="str">
        <x:v>kg</x:v>
      </x:c>
      <x:c r="H50" s="22" t="str">
        <x:v>T/U</x:v>
      </x:c>
      <x:c r="I50" s="22" t="str">
        <x:v>氯碱电解主计量；指定钾盐矿为假设。</x:v>
      </x:c>
      <x:c r="J50" s="22" t="str">
        <x:v>本回答设定；不是文献实测</x:v>
      </x:c>
    </x:row>
    <x:row r="51" ht="40" customHeight="1">
      <x:c r="A51" s="22" t="str">
        <x:v>M_NIOH</x:v>
      </x:c>
      <x:c r="B51" s="22" t="str">
        <x:v>氢氧化镍活性物质</x:v>
      </x:c>
      <x:c r="C51" s="22" t="str">
        <x:v>R15</x:v>
      </x:c>
      <x:c r="D51" s="30" t="n">
        <x:v>0.8056781041345313</x:v>
      </x:c>
      <x:c r="E51" s="30" t="n">
        <x:v>1</x:v>
      </x:c>
      <x:c r="F51" s="31" t="n">
        <x:f>D51/E51</x:f>
        <x:v>0.8056781041345313</x:v>
      </x:c>
      <x:c r="G51" s="22" t="str">
        <x:v>kg有效组分当量</x:v>
      </x:c>
      <x:c r="H51" s="22" t="str">
        <x:v>T/U</x:v>
      </x:c>
      <x:c r="I51" s="22" t="str">
        <x:v>氧化镍水合总计量；电极形貌/性能不能由质量保证。</x:v>
      </x:c>
      <x:c r="J51" s="22" t="str">
        <x:v>本回答设定；不是文献实测</x:v>
      </x:c>
    </x:row>
    <x:row r="52" ht="40" customHeight="1">
      <x:c r="A52" s="22" t="str">
        <x:v>M_NIOH</x:v>
      </x:c>
      <x:c r="B52" s="22" t="str">
        <x:v>氢氧化镍活性物质</x:v>
      </x:c>
      <x:c r="C52" s="22" t="str">
        <x:v>M_W</x:v>
      </x:c>
      <x:c r="D52" s="30" t="n">
        <x:v>0.19432189586546864</x:v>
      </x:c>
      <x:c r="E52" s="30" t="n">
        <x:v>1</x:v>
      </x:c>
      <x:c r="F52" s="31" t="n">
        <x:f>D52/E52</x:f>
        <x:v>0.19432189586546864</x:v>
      </x:c>
      <x:c r="G52" s="22" t="str">
        <x:v>kg</x:v>
      </x:c>
      <x:c r="H52" s="22" t="str">
        <x:v>T/U</x:v>
      </x:c>
      <x:c r="I52" s="22" t="str">
        <x:v>氧化镍水合总计量；电极形貌/性能不能由质量保证。</x:v>
      </x:c>
      <x:c r="J52" s="22" t="str">
        <x:v>本回答设定；不是文献实测</x:v>
      </x:c>
    </x:row>
    <x:row r="53" ht="40" customHeight="1">
      <x:c r="A53" s="22" t="str">
        <x:v>I01</x:v>
      </x:c>
      <x:c r="B53" s="22" t="str">
        <x:v>烧结砖/铺面块</x:v>
      </x:c>
      <x:c r="C53" s="22" t="str">
        <x:v>R05</x:v>
      </x:c>
      <x:c r="D53" s="30" t="n">
        <x:v>1.0526315789473684</x:v>
      </x:c>
      <x:c r="E53" s="30" t="n">
        <x:v>1</x:v>
      </x:c>
      <x:c r="F53" s="31" t="n">
        <x:f>D53/E53</x:f>
        <x:v>1.0526315789473684</x:v>
      </x:c>
      <x:c r="G53" s="22" t="str">
        <x:v>kg有效组分当量</x:v>
      </x:c>
      <x:c r="H53" s="22" t="str">
        <x:v>H</x:v>
      </x:c>
      <x:c r="I53" s="22" t="str">
        <x:v>非承压围护；95%合格率假设</x:v>
      </x:c>
      <x:c r="J53" s="22" t="str">
        <x:v>https://ntrs.nasa.gov/citations/20150010765</x:v>
      </x:c>
    </x:row>
    <x:row r="54" ht="40" customHeight="1">
      <x:c r="A54" s="22" t="str">
        <x:v>I02</x:v>
      </x:c>
      <x:c r="B54" s="22" t="str">
        <x:v>陶瓷管/耐火件</x:v>
      </x:c>
      <x:c r="C54" s="22" t="str">
        <x:v>M_CER</x:v>
      </x:c>
      <x:c r="D54" s="30" t="n">
        <x:v>1</x:v>
      </x:c>
      <x:c r="E54" s="30" t="n">
        <x:v>1</x:v>
      </x:c>
      <x:c r="F54" s="31" t="n">
        <x:f>D54/E54</x:f>
        <x:v>1</x:v>
      </x:c>
      <x:c r="G54" s="22" t="str">
        <x:v>kg</x:v>
      </x:c>
      <x:c r="H54" s="22" t="str">
        <x:v>H</x:v>
      </x:c>
      <x:c r="I54" s="22" t="str"/>
      <x:c r="J54" s="22" t="str">
        <x:v>https://ntrs.nasa.gov/citations/20150010765</x:v>
      </x:c>
    </x:row>
    <x:row r="55" ht="40" customHeight="1">
      <x:c r="A55" s="22" t="str">
        <x:v>I03</x:v>
      </x:c>
      <x:c r="B55" s="22" t="str">
        <x:v>岩棉/玄武岩纤维</x:v>
      </x:c>
      <x:c r="C55" s="22" t="str">
        <x:v>M_FIB</x:v>
      </x:c>
      <x:c r="D55" s="30" t="n">
        <x:v>1</x:v>
      </x:c>
      <x:c r="E55" s="30" t="n">
        <x:v>1</x:v>
      </x:c>
      <x:c r="F55" s="31" t="n">
        <x:f>D55/E55</x:f>
        <x:v>1</x:v>
      </x:c>
      <x:c r="G55" s="22" t="str">
        <x:v>kg</x:v>
      </x:c>
      <x:c r="H55" s="22" t="str">
        <x:v>H</x:v>
      </x:c>
      <x:c r="I55" s="22" t="str"/>
      <x:c r="J55" s="22" t="str">
        <x:v>本回答设定；不是文献实测</x:v>
      </x:c>
    </x:row>
    <x:row r="56" ht="40" customHeight="1">
      <x:c r="A56" s="22" t="str">
        <x:v>I04</x:v>
      </x:c>
      <x:c r="B56" s="22" t="str">
        <x:v>透明硅玻璃板</x:v>
      </x:c>
      <x:c r="C56" s="22" t="str">
        <x:v>M_GL</x:v>
      </x:c>
      <x:c r="D56" s="30" t="n">
        <x:v>11</x:v>
      </x:c>
      <x:c r="E56" s="30" t="n">
        <x:v>1</x:v>
      </x:c>
      <x:c r="F56" s="31" t="n">
        <x:f>D56/E56</x:f>
        <x:v>11</x:v>
      </x:c>
      <x:c r="G56" s="22" t="str">
        <x:v>kg</x:v>
      </x:c>
      <x:c r="H56" s="22" t="str">
        <x:v>H</x:v>
      </x:c>
      <x:c r="I56" s="22" t="str"/>
      <x:c r="J56" s="22" t="str">
        <x:v>本回答设定；不是文献实测</x:v>
      </x:c>
    </x:row>
    <x:row r="57" ht="40" customHeight="1">
      <x:c r="A57" s="22" t="str">
        <x:v>I05</x:v>
      </x:c>
      <x:c r="B57" s="22" t="str">
        <x:v>低碳钢零件</x:v>
      </x:c>
      <x:c r="C57" s="22" t="str">
        <x:v>M_ST</x:v>
      </x:c>
      <x:c r="D57" s="30" t="n">
        <x:v>1</x:v>
      </x:c>
      <x:c r="E57" s="30" t="n">
        <x:v>1</x:v>
      </x:c>
      <x:c r="F57" s="31" t="n">
        <x:f>D57/E57</x:f>
        <x:v>1</x:v>
      </x:c>
      <x:c r="G57" s="22" t="str">
        <x:v>kg</x:v>
      </x:c>
      <x:c r="H57" s="22" t="str">
        <x:v>H/T</x:v>
      </x:c>
      <x:c r="I57" s="22" t="str">
        <x:v>机加工损耗默认0；应另加良率</x:v>
      </x:c>
      <x:c r="J57" s="22" t="str">
        <x:v>本回答设定；不是文献实测</x:v>
      </x:c>
    </x:row>
    <x:row r="58" ht="40" customHeight="1">
      <x:c r="A58" s="22" t="str">
        <x:v>I06</x:v>
      </x:c>
      <x:c r="B58" s="22" t="str">
        <x:v>裸铜导线</x:v>
      </x:c>
      <x:c r="C58" s="22" t="str">
        <x:v>M_CU</x:v>
      </x:c>
      <x:c r="D58" s="30" t="n">
        <x:v>1</x:v>
      </x:c>
      <x:c r="E58" s="30" t="n">
        <x:v>1</x:v>
      </x:c>
      <x:c r="F58" s="31" t="n">
        <x:f>D58/E58</x:f>
        <x:v>1</x:v>
      </x:c>
      <x:c r="G58" s="22" t="str">
        <x:v>kg</x:v>
      </x:c>
      <x:c r="H58" s="22" t="str">
        <x:v>T/U</x:v>
      </x:c>
      <x:c r="I58" s="22" t="str">
        <x:v>不包含绝缘、端接；铜矿可用性未确认</x:v>
      </x:c>
      <x:c r="J58" s="22" t="str">
        <x:v>本回答设定；不是文献实测</x:v>
      </x:c>
    </x:row>
    <x:row r="59" ht="40" customHeight="1">
      <x:c r="A59" s="22" t="str">
        <x:v>I07</x:v>
      </x:c>
      <x:c r="B59" s="22" t="str">
        <x:v>PE管材/薄膜</x:v>
      </x:c>
      <x:c r="C59" s="22" t="str">
        <x:v>M_PE</x:v>
      </x:c>
      <x:c r="D59" s="30" t="n">
        <x:v>1</x:v>
      </x:c>
      <x:c r="E59" s="30" t="n">
        <x:v>1</x:v>
      </x:c>
      <x:c r="F59" s="31" t="n">
        <x:f>D59/E59</x:f>
        <x:v>1</x:v>
      </x:c>
      <x:c r="G59" s="22" t="str">
        <x:v>kg</x:v>
      </x:c>
      <x:c r="H59" s="22" t="str">
        <x:v>T/H</x:v>
      </x:c>
      <x:c r="I59" s="22" t="str"/>
      <x:c r="J59" s="22" t="str">
        <x:v>本回答设定；不是文献实测</x:v>
      </x:c>
    </x:row>
    <x:row r="60" ht="40" customHeight="1">
      <x:c r="A60" s="22" t="str">
        <x:v>I08</x:v>
      </x:c>
      <x:c r="B60" s="22" t="str">
        <x:v>硅橡胶密封件</x:v>
      </x:c>
      <x:c r="C60" s="22" t="str">
        <x:v>M_SEAL</x:v>
      </x:c>
      <x:c r="D60" s="30" t="n">
        <x:v>1</x:v>
      </x:c>
      <x:c r="E60" s="30" t="n">
        <x:v>1</x:v>
      </x:c>
      <x:c r="F60" s="31" t="n">
        <x:f>D60/E60</x:f>
        <x:v>1</x:v>
      </x:c>
      <x:c r="G60" s="22" t="str">
        <x:v>kg</x:v>
      </x:c>
      <x:c r="H60" s="22" t="str">
        <x:v>T/H</x:v>
      </x:c>
      <x:c r="I60" s="22" t="str"/>
      <x:c r="J60" s="22" t="str">
        <x:v>本回答设定；不是文献实测</x:v>
      </x:c>
    </x:row>
    <x:row r="61" ht="40" customHeight="1">
      <x:c r="A61" s="22" t="str">
        <x:v>I09</x:v>
      </x:c>
      <x:c r="B61" s="22" t="str">
        <x:v>润滑基料</x:v>
      </x:c>
      <x:c r="C61" s="22" t="str">
        <x:v>M_LUB</x:v>
      </x:c>
      <x:c r="D61" s="30" t="n">
        <x:v>1</x:v>
      </x:c>
      <x:c r="E61" s="30" t="n">
        <x:v>1</x:v>
      </x:c>
      <x:c r="F61" s="31" t="n">
        <x:f>D61/E61</x:f>
        <x:v>1</x:v>
      </x:c>
      <x:c r="G61" s="22" t="str">
        <x:v>kg</x:v>
      </x:c>
      <x:c r="H61" s="22" t="str">
        <x:v>T/H</x:v>
      </x:c>
      <x:c r="I61" s="22" t="str"/>
      <x:c r="J61" s="22" t="str">
        <x:v>本回答设定；不是文献实测</x:v>
      </x:c>
    </x:row>
    <x:row r="62" ht="40" customHeight="1">
      <x:c r="A62" s="22" t="str">
        <x:v>I10</x:v>
      </x:c>
      <x:c r="B62" s="22" t="str">
        <x:v>钢制紧固件</x:v>
      </x:c>
      <x:c r="C62" s="22" t="str">
        <x:v>M_ST</x:v>
      </x:c>
      <x:c r="D62" s="30" t="n">
        <x:v>1</x:v>
      </x:c>
      <x:c r="E62" s="30" t="n">
        <x:v>1</x:v>
      </x:c>
      <x:c r="F62" s="31" t="n">
        <x:f>D62/E62</x:f>
        <x:v>1</x:v>
      </x:c>
      <x:c r="G62" s="22" t="str">
        <x:v>kg</x:v>
      </x:c>
      <x:c r="H62" s="22" t="str">
        <x:v>H/T</x:v>
      </x:c>
      <x:c r="I62" s="22" t="str"/>
      <x:c r="J62" s="22" t="str">
        <x:v>本回答设定；不是文献实测</x:v>
      </x:c>
    </x:row>
    <x:row r="63" ht="40" customHeight="1">
      <x:c r="A63" s="22" t="str">
        <x:v>I11</x:v>
      </x:c>
      <x:c r="B63" s="22" t="str">
        <x:v>流体泵套件</x:v>
      </x:c>
      <x:c r="C63" s="22" t="str">
        <x:v>M_ST</x:v>
      </x:c>
      <x:c r="D63" s="30" t="n">
        <x:v>12</x:v>
      </x:c>
      <x:c r="E63" s="30" t="n">
        <x:v>1</x:v>
      </x:c>
      <x:c r="F63" s="31" t="n">
        <x:f>D63/E63</x:f>
        <x:v>12</x:v>
      </x:c>
      <x:c r="G63" s="22" t="str">
        <x:v>kg</x:v>
      </x:c>
      <x:c r="H63" s="22" t="str">
        <x:v>H</x:v>
      </x:c>
      <x:c r="I63" s="22" t="str"/>
      <x:c r="J63" s="22" t="str">
        <x:v>本回答设定；不是文献实测</x:v>
      </x:c>
    </x:row>
    <x:row r="64" ht="40" customHeight="1">
      <x:c r="A64" s="22" t="str">
        <x:v>I11</x:v>
      </x:c>
      <x:c r="B64" s="22" t="str">
        <x:v>流体泵套件</x:v>
      </x:c>
      <x:c r="C64" s="22" t="str">
        <x:v>M_CU</x:v>
      </x:c>
      <x:c r="D64" s="30" t="n">
        <x:v>1.5</x:v>
      </x:c>
      <x:c r="E64" s="30" t="n">
        <x:v>1</x:v>
      </x:c>
      <x:c r="F64" s="31" t="n">
        <x:f>D64/E64</x:f>
        <x:v>1.5</x:v>
      </x:c>
      <x:c r="G64" s="22" t="str">
        <x:v>kg</x:v>
      </x:c>
      <x:c r="H64" s="22" t="str">
        <x:v>H</x:v>
      </x:c>
      <x:c r="I64" s="22" t="str"/>
      <x:c r="J64" s="22" t="str">
        <x:v>本回答设定；不是文献实测</x:v>
      </x:c>
    </x:row>
    <x:row r="65" ht="40" customHeight="1">
      <x:c r="A65" s="22" t="str">
        <x:v>I11</x:v>
      </x:c>
      <x:c r="B65" s="22" t="str">
        <x:v>流体泵套件</x:v>
      </x:c>
      <x:c r="C65" s="22" t="str">
        <x:v>M_SEAL</x:v>
      </x:c>
      <x:c r="D65" s="30" t="n">
        <x:v>0.2</x:v>
      </x:c>
      <x:c r="E65" s="30" t="n">
        <x:v>1</x:v>
      </x:c>
      <x:c r="F65" s="31" t="n">
        <x:f>D65/E65</x:f>
        <x:v>0.2</x:v>
      </x:c>
      <x:c r="G65" s="22" t="str">
        <x:v>kg</x:v>
      </x:c>
      <x:c r="H65" s="22" t="str">
        <x:v>H</x:v>
      </x:c>
      <x:c r="I65" s="22" t="str"/>
      <x:c r="J65" s="22" t="str">
        <x:v>本回答设定；不是文献实测</x:v>
      </x:c>
    </x:row>
    <x:row r="66" ht="40" customHeight="1">
      <x:c r="A66" s="22" t="str">
        <x:v>I11</x:v>
      </x:c>
      <x:c r="B66" s="22" t="str">
        <x:v>流体泵套件</x:v>
      </x:c>
      <x:c r="C66" s="22" t="str">
        <x:v>M_CER</x:v>
      </x:c>
      <x:c r="D66" s="30" t="n">
        <x:v>1</x:v>
      </x:c>
      <x:c r="E66" s="30" t="n">
        <x:v>1</x:v>
      </x:c>
      <x:c r="F66" s="31" t="n">
        <x:f>D66/E66</x:f>
        <x:v>1</x:v>
      </x:c>
      <x:c r="G66" s="22" t="str">
        <x:v>kg</x:v>
      </x:c>
      <x:c r="H66" s="22" t="str">
        <x:v>H</x:v>
      </x:c>
      <x:c r="I66" s="22" t="str"/>
      <x:c r="J66" s="22" t="str">
        <x:v>本回答设定；不是文献实测</x:v>
      </x:c>
    </x:row>
    <x:row r="67" ht="40" customHeight="1">
      <x:c r="A67" s="22" t="str">
        <x:v>I11</x:v>
      </x:c>
      <x:c r="B67" s="22" t="str">
        <x:v>流体泵套件</x:v>
      </x:c>
      <x:c r="C67" s="22" t="str">
        <x:v>X01</x:v>
      </x:c>
      <x:c r="D67" s="30" t="n">
        <x:v>0.3</x:v>
      </x:c>
      <x:c r="E67" s="30" t="n">
        <x:v>1</x:v>
      </x:c>
      <x:c r="F67" s="31" t="n">
        <x:f>D67/E67</x:f>
        <x:v>0.3</x:v>
      </x:c>
      <x:c r="G67" s="22" t="str">
        <x:v>kg</x:v>
      </x:c>
      <x:c r="H67" s="22" t="str">
        <x:v>H</x:v>
      </x:c>
      <x:c r="I67" s="22" t="str"/>
      <x:c r="J67" s="22" t="str">
        <x:v>本回答设定；不是文献实测</x:v>
      </x:c>
    </x:row>
    <x:row r="68" ht="40" customHeight="1">
      <x:c r="A68" s="22" t="str">
        <x:v>I11</x:v>
      </x:c>
      <x:c r="B68" s="22" t="str">
        <x:v>流体泵套件</x:v>
      </x:c>
      <x:c r="C68" s="22" t="str">
        <x:v>X02</x:v>
      </x:c>
      <x:c r="D68" s="30" t="n">
        <x:v>0.5</x:v>
      </x:c>
      <x:c r="E68" s="30" t="n">
        <x:v>1</x:v>
      </x:c>
      <x:c r="F68" s="31" t="n">
        <x:f>D68/E68</x:f>
        <x:v>0.5</x:v>
      </x:c>
      <x:c r="G68" s="22" t="str">
        <x:v>kg</x:v>
      </x:c>
      <x:c r="H68" s="22" t="str">
        <x:v>H</x:v>
      </x:c>
      <x:c r="I68" s="22" t="str"/>
      <x:c r="J68" s="22" t="str">
        <x:v>本回答设定；不是文献实测</x:v>
      </x:c>
    </x:row>
    <x:row r="69" ht="40" customHeight="1">
      <x:c r="A69" s="22" t="str">
        <x:v>I12</x:v>
      </x:c>
      <x:c r="B69" s="22" t="str">
        <x:v>感应电机套件</x:v>
      </x:c>
      <x:c r="C69" s="22" t="str">
        <x:v>M_ST</x:v>
      </x:c>
      <x:c r="D69" s="30" t="n">
        <x:v>10</x:v>
      </x:c>
      <x:c r="E69" s="30" t="n">
        <x:v>1</x:v>
      </x:c>
      <x:c r="F69" s="31" t="n">
        <x:f>D69/E69</x:f>
        <x:v>10</x:v>
      </x:c>
      <x:c r="G69" s="22" t="str">
        <x:v>kg</x:v>
      </x:c>
      <x:c r="H69" s="22" t="str">
        <x:v>H</x:v>
      </x:c>
      <x:c r="I69" s="22" t="str"/>
      <x:c r="J69" s="22" t="str">
        <x:v>本回答设定；不是文献实测</x:v>
      </x:c>
    </x:row>
    <x:row r="70" ht="40" customHeight="1">
      <x:c r="A70" s="22" t="str">
        <x:v>I12</x:v>
      </x:c>
      <x:c r="B70" s="22" t="str">
        <x:v>感应电机套件</x:v>
      </x:c>
      <x:c r="C70" s="22" t="str">
        <x:v>M_CU</x:v>
      </x:c>
      <x:c r="D70" s="30" t="n">
        <x:v>2</x:v>
      </x:c>
      <x:c r="E70" s="30" t="n">
        <x:v>1</x:v>
      </x:c>
      <x:c r="F70" s="31" t="n">
        <x:f>D70/E70</x:f>
        <x:v>2</x:v>
      </x:c>
      <x:c r="G70" s="22" t="str">
        <x:v>kg</x:v>
      </x:c>
      <x:c r="H70" s="22" t="str">
        <x:v>H</x:v>
      </x:c>
      <x:c r="I70" s="22" t="str"/>
      <x:c r="J70" s="22" t="str">
        <x:v>本回答设定；不是文献实测</x:v>
      </x:c>
    </x:row>
    <x:row r="71" ht="40" customHeight="1">
      <x:c r="A71" s="22" t="str">
        <x:v>I12</x:v>
      </x:c>
      <x:c r="B71" s="22" t="str">
        <x:v>感应电机套件</x:v>
      </x:c>
      <x:c r="C71" s="22" t="str">
        <x:v>M_GL</x:v>
      </x:c>
      <x:c r="D71" s="30" t="n">
        <x:v>0.5</x:v>
      </x:c>
      <x:c r="E71" s="30" t="n">
        <x:v>1</x:v>
      </x:c>
      <x:c r="F71" s="31" t="n">
        <x:f>D71/E71</x:f>
        <x:v>0.5</x:v>
      </x:c>
      <x:c r="G71" s="22" t="str">
        <x:v>kg</x:v>
      </x:c>
      <x:c r="H71" s="22" t="str">
        <x:v>H</x:v>
      </x:c>
      <x:c r="I71" s="22" t="str"/>
      <x:c r="J71" s="22" t="str">
        <x:v>本回答设定；不是文献实测</x:v>
      </x:c>
    </x:row>
    <x:row r="72" ht="40" customHeight="1">
      <x:c r="A72" s="22" t="str">
        <x:v>I12</x:v>
      </x:c>
      <x:c r="B72" s="22" t="str">
        <x:v>感应电机套件</x:v>
      </x:c>
      <x:c r="C72" s="22" t="str">
        <x:v>M_SEAL</x:v>
      </x:c>
      <x:c r="D72" s="30" t="n">
        <x:v>0.1</x:v>
      </x:c>
      <x:c r="E72" s="30" t="n">
        <x:v>1</x:v>
      </x:c>
      <x:c r="F72" s="31" t="n">
        <x:f>D72/E72</x:f>
        <x:v>0.1</x:v>
      </x:c>
      <x:c r="G72" s="22" t="str">
        <x:v>kg</x:v>
      </x:c>
      <x:c r="H72" s="22" t="str">
        <x:v>H</x:v>
      </x:c>
      <x:c r="I72" s="22" t="str"/>
      <x:c r="J72" s="22" t="str">
        <x:v>本回答设定；不是文献实测</x:v>
      </x:c>
    </x:row>
    <x:row r="73" ht="40" customHeight="1">
      <x:c r="A73" s="22" t="str">
        <x:v>I12</x:v>
      </x:c>
      <x:c r="B73" s="22" t="str">
        <x:v>感应电机套件</x:v>
      </x:c>
      <x:c r="C73" s="22" t="str">
        <x:v>X01</x:v>
      </x:c>
      <x:c r="D73" s="30" t="n">
        <x:v>0.5</x:v>
      </x:c>
      <x:c r="E73" s="30" t="n">
        <x:v>1</x:v>
      </x:c>
      <x:c r="F73" s="31" t="n">
        <x:f>D73/E73</x:f>
        <x:v>0.5</x:v>
      </x:c>
      <x:c r="G73" s="22" t="str">
        <x:v>kg</x:v>
      </x:c>
      <x:c r="H73" s="22" t="str">
        <x:v>H</x:v>
      </x:c>
      <x:c r="I73" s="22" t="str"/>
      <x:c r="J73" s="22" t="str">
        <x:v>本回答设定；不是文献实测</x:v>
      </x:c>
    </x:row>
    <x:row r="74" ht="40" customHeight="1">
      <x:c r="A74" s="22" t="str">
        <x:v>I12</x:v>
      </x:c>
      <x:c r="B74" s="22" t="str">
        <x:v>感应电机套件</x:v>
      </x:c>
      <x:c r="C74" s="22" t="str">
        <x:v>X02</x:v>
      </x:c>
      <x:c r="D74" s="30" t="n">
        <x:v>0.3</x:v>
      </x:c>
      <x:c r="E74" s="30" t="n">
        <x:v>1</x:v>
      </x:c>
      <x:c r="F74" s="31" t="n">
        <x:f>D74/E74</x:f>
        <x:v>0.3</x:v>
      </x:c>
      <x:c r="G74" s="22" t="str">
        <x:v>kg</x:v>
      </x:c>
      <x:c r="H74" s="22" t="str">
        <x:v>H</x:v>
      </x:c>
      <x:c r="I74" s="22" t="str"/>
      <x:c r="J74" s="22" t="str">
        <x:v>本回答设定；不是文献实测</x:v>
      </x:c>
    </x:row>
    <x:row r="75" ht="40" customHeight="1">
      <x:c r="A75" s="22" t="str">
        <x:v>I13</x:v>
      </x:c>
      <x:c r="B75" s="22" t="str">
        <x:v>储液/储气容器套件</x:v>
      </x:c>
      <x:c r="C75" s="22" t="str">
        <x:v>M_ST</x:v>
      </x:c>
      <x:c r="D75" s="30" t="n">
        <x:v>60</x:v>
      </x:c>
      <x:c r="E75" s="30" t="n">
        <x:v>1</x:v>
      </x:c>
      <x:c r="F75" s="31" t="n">
        <x:f>D75/E75</x:f>
        <x:v>60</x:v>
      </x:c>
      <x:c r="G75" s="22" t="str">
        <x:v>kg</x:v>
      </x:c>
      <x:c r="H75" s="22" t="str">
        <x:v>H</x:v>
      </x:c>
      <x:c r="I75" s="22" t="str"/>
      <x:c r="J75" s="22" t="str">
        <x:v>本回答设定；不是文献实测</x:v>
      </x:c>
    </x:row>
    <x:row r="76" ht="40" customHeight="1">
      <x:c r="A76" s="22" t="str">
        <x:v>I13</x:v>
      </x:c>
      <x:c r="B76" s="22" t="str">
        <x:v>储液/储气容器套件</x:v>
      </x:c>
      <x:c r="C76" s="22" t="str">
        <x:v>M_SEAL</x:v>
      </x:c>
      <x:c r="D76" s="30" t="n">
        <x:v>0.2</x:v>
      </x:c>
      <x:c r="E76" s="30" t="n">
        <x:v>1</x:v>
      </x:c>
      <x:c r="F76" s="31" t="n">
        <x:f>D76/E76</x:f>
        <x:v>0.2</x:v>
      </x:c>
      <x:c r="G76" s="22" t="str">
        <x:v>kg</x:v>
      </x:c>
      <x:c r="H76" s="22" t="str">
        <x:v>H</x:v>
      </x:c>
      <x:c r="I76" s="22" t="str"/>
      <x:c r="J76" s="22" t="str">
        <x:v>本回答设定；不是文献实测</x:v>
      </x:c>
    </x:row>
    <x:row r="77" ht="40" customHeight="1">
      <x:c r="A77" s="22" t="str">
        <x:v>I13</x:v>
      </x:c>
      <x:c r="B77" s="22" t="str">
        <x:v>储液/储气容器套件</x:v>
      </x:c>
      <x:c r="C77" s="22" t="str">
        <x:v>M_CU</x:v>
      </x:c>
      <x:c r="D77" s="30" t="n">
        <x:v>0.5</x:v>
      </x:c>
      <x:c r="E77" s="30" t="n">
        <x:v>1</x:v>
      </x:c>
      <x:c r="F77" s="31" t="n">
        <x:f>D77/E77</x:f>
        <x:v>0.5</x:v>
      </x:c>
      <x:c r="G77" s="22" t="str">
        <x:v>kg</x:v>
      </x:c>
      <x:c r="H77" s="22" t="str">
        <x:v>H</x:v>
      </x:c>
      <x:c r="I77" s="22" t="str"/>
      <x:c r="J77" s="22" t="str">
        <x:v>本回答设定；不是文献实测</x:v>
      </x:c>
    </x:row>
    <x:row r="78" ht="40" customHeight="1">
      <x:c r="A78" s="22" t="str">
        <x:v>I13</x:v>
      </x:c>
      <x:c r="B78" s="22" t="str">
        <x:v>储液/储气容器套件</x:v>
      </x:c>
      <x:c r="C78" s="22" t="str">
        <x:v>X01</x:v>
      </x:c>
      <x:c r="D78" s="30" t="n">
        <x:v>0.2</x:v>
      </x:c>
      <x:c r="E78" s="30" t="n">
        <x:v>1</x:v>
      </x:c>
      <x:c r="F78" s="31" t="n">
        <x:f>D78/E78</x:f>
        <x:v>0.2</x:v>
      </x:c>
      <x:c r="G78" s="22" t="str">
        <x:v>kg</x:v>
      </x:c>
      <x:c r="H78" s="22" t="str">
        <x:v>H</x:v>
      </x:c>
      <x:c r="I78" s="22" t="str"/>
      <x:c r="J78" s="22" t="str">
        <x:v>本回答设定；不是文献实测</x:v>
      </x:c>
    </x:row>
    <x:row r="79" ht="40" customHeight="1">
      <x:c r="A79" s="22" t="str">
        <x:v>I13</x:v>
      </x:c>
      <x:c r="B79" s="22" t="str">
        <x:v>储液/储气容器套件</x:v>
      </x:c>
      <x:c r="C79" s="22" t="str">
        <x:v>X02</x:v>
      </x:c>
      <x:c r="D79" s="30" t="n">
        <x:v>0.3</x:v>
      </x:c>
      <x:c r="E79" s="30" t="n">
        <x:v>1</x:v>
      </x:c>
      <x:c r="F79" s="31" t="n">
        <x:f>D79/E79</x:f>
        <x:v>0.3</x:v>
      </x:c>
      <x:c r="G79" s="22" t="str">
        <x:v>kg</x:v>
      </x:c>
      <x:c r="H79" s="22" t="str">
        <x:v>H</x:v>
      </x:c>
      <x:c r="I79" s="22" t="str"/>
      <x:c r="J79" s="22" t="str">
        <x:v>本回答设定；不是文献实测</x:v>
      </x:c>
    </x:row>
    <x:row r="80" ht="40" customHeight="1">
      <x:c r="A80" s="22" t="str">
        <x:v>I14</x:v>
      </x:c>
      <x:c r="B80" s="22" t="str">
        <x:v>电热炉套件</x:v>
      </x:c>
      <x:c r="C80" s="22" t="str">
        <x:v>M_ST</x:v>
      </x:c>
      <x:c r="D80" s="30" t="n">
        <x:v>5</x:v>
      </x:c>
      <x:c r="E80" s="30" t="n">
        <x:v>1</x:v>
      </x:c>
      <x:c r="F80" s="31" t="n">
        <x:f>D80/E80</x:f>
        <x:v>5</x:v>
      </x:c>
      <x:c r="G80" s="22" t="str">
        <x:v>kg</x:v>
      </x:c>
      <x:c r="H80" s="22" t="str">
        <x:v>H</x:v>
      </x:c>
      <x:c r="I80" s="22" t="str"/>
      <x:c r="J80" s="22" t="str">
        <x:v>本回答设定；不是文献实测</x:v>
      </x:c>
    </x:row>
    <x:row r="81" ht="40" customHeight="1">
      <x:c r="A81" s="22" t="str">
        <x:v>I14</x:v>
      </x:c>
      <x:c r="B81" s="22" t="str">
        <x:v>电热炉套件</x:v>
      </x:c>
      <x:c r="C81" s="22" t="str">
        <x:v>M_CER</x:v>
      </x:c>
      <x:c r="D81" s="30" t="n">
        <x:v>10</x:v>
      </x:c>
      <x:c r="E81" s="30" t="n">
        <x:v>1</x:v>
      </x:c>
      <x:c r="F81" s="31" t="n">
        <x:f>D81/E81</x:f>
        <x:v>10</x:v>
      </x:c>
      <x:c r="G81" s="22" t="str">
        <x:v>kg</x:v>
      </x:c>
      <x:c r="H81" s="22" t="str">
        <x:v>H</x:v>
      </x:c>
      <x:c r="I81" s="22" t="str"/>
      <x:c r="J81" s="22" t="str">
        <x:v>本回答设定；不是文献实测</x:v>
      </x:c>
    </x:row>
    <x:row r="82" ht="40" customHeight="1">
      <x:c r="A82" s="22" t="str">
        <x:v>I14</x:v>
      </x:c>
      <x:c r="B82" s="22" t="str">
        <x:v>电热炉套件</x:v>
      </x:c>
      <x:c r="C82" s="22" t="str">
        <x:v>M_CU</x:v>
      </x:c>
      <x:c r="D82" s="30" t="n">
        <x:v>0.5</x:v>
      </x:c>
      <x:c r="E82" s="30" t="n">
        <x:v>1</x:v>
      </x:c>
      <x:c r="F82" s="31" t="n">
        <x:f>D82/E82</x:f>
        <x:v>0.5</x:v>
      </x:c>
      <x:c r="G82" s="22" t="str">
        <x:v>kg</x:v>
      </x:c>
      <x:c r="H82" s="22" t="str">
        <x:v>H</x:v>
      </x:c>
      <x:c r="I82" s="22" t="str"/>
      <x:c r="J82" s="22" t="str">
        <x:v>本回答设定；不是文献实测</x:v>
      </x:c>
    </x:row>
    <x:row r="83" ht="40" customHeight="1">
      <x:c r="A83" s="22" t="str">
        <x:v>I14</x:v>
      </x:c>
      <x:c r="B83" s="22" t="str">
        <x:v>电热炉套件</x:v>
      </x:c>
      <x:c r="C83" s="22" t="str">
        <x:v>M_C</x:v>
      </x:c>
      <x:c r="D83" s="30" t="n">
        <x:v>0.5</x:v>
      </x:c>
      <x:c r="E83" s="30" t="n">
        <x:v>1</x:v>
      </x:c>
      <x:c r="F83" s="31" t="n">
        <x:f>D83/E83</x:f>
        <x:v>0.5</x:v>
      </x:c>
      <x:c r="G83" s="22" t="str">
        <x:v>kg</x:v>
      </x:c>
      <x:c r="H83" s="22" t="str">
        <x:v>H</x:v>
      </x:c>
      <x:c r="I83" s="22" t="str"/>
      <x:c r="J83" s="22" t="str">
        <x:v>本回答设定；不是文献实测</x:v>
      </x:c>
    </x:row>
    <x:row r="84" ht="40" customHeight="1">
      <x:c r="A84" s="22" t="str">
        <x:v>I14</x:v>
      </x:c>
      <x:c r="B84" s="22" t="str">
        <x:v>电热炉套件</x:v>
      </x:c>
      <x:c r="C84" s="22" t="str">
        <x:v>X01</x:v>
      </x:c>
      <x:c r="D84" s="30" t="n">
        <x:v>0.2</x:v>
      </x:c>
      <x:c r="E84" s="30" t="n">
        <x:v>1</x:v>
      </x:c>
      <x:c r="F84" s="31" t="n">
        <x:f>D84/E84</x:f>
        <x:v>0.2</x:v>
      </x:c>
      <x:c r="G84" s="22" t="str">
        <x:v>kg</x:v>
      </x:c>
      <x:c r="H84" s="22" t="str">
        <x:v>H</x:v>
      </x:c>
      <x:c r="I84" s="22" t="str"/>
      <x:c r="J84" s="22" t="str">
        <x:v>本回答设定；不是文献实测</x:v>
      </x:c>
    </x:row>
    <x:row r="85" ht="40" customHeight="1">
      <x:c r="A85" s="22" t="str">
        <x:v>I14</x:v>
      </x:c>
      <x:c r="B85" s="22" t="str">
        <x:v>电热炉套件</x:v>
      </x:c>
      <x:c r="C85" s="22" t="str">
        <x:v>X03</x:v>
      </x:c>
      <x:c r="D85" s="30" t="n">
        <x:v>0.1</x:v>
      </x:c>
      <x:c r="E85" s="30" t="n">
        <x:v>1</x:v>
      </x:c>
      <x:c r="F85" s="31" t="n">
        <x:f>D85/E85</x:f>
        <x:v>0.1</x:v>
      </x:c>
      <x:c r="G85" s="22" t="str">
        <x:v>kg</x:v>
      </x:c>
      <x:c r="H85" s="22" t="str">
        <x:v>H</x:v>
      </x:c>
      <x:c r="I85" s="22" t="str"/>
      <x:c r="J85" s="22" t="str">
        <x:v>本回答设定；不是文献实测</x:v>
      </x:c>
    </x:row>
    <x:row r="86" ht="40" customHeight="1">
      <x:c r="A86" s="22" t="str">
        <x:v>I15</x:v>
      </x:c>
      <x:c r="B86" s="22" t="str">
        <x:v>机加工设备套件</x:v>
      </x:c>
      <x:c r="C86" s="22" t="str">
        <x:v>M_ST</x:v>
      </x:c>
      <x:c r="D86" s="30" t="n">
        <x:v>100</x:v>
      </x:c>
      <x:c r="E86" s="30" t="n">
        <x:v>1</x:v>
      </x:c>
      <x:c r="F86" s="31" t="n">
        <x:f>D86/E86</x:f>
        <x:v>100</x:v>
      </x:c>
      <x:c r="G86" s="22" t="str">
        <x:v>kg</x:v>
      </x:c>
      <x:c r="H86" s="22" t="str">
        <x:v>H</x:v>
      </x:c>
      <x:c r="I86" s="22" t="str"/>
      <x:c r="J86" s="22" t="str">
        <x:v>本回答设定；不是文献实测</x:v>
      </x:c>
    </x:row>
    <x:row r="87" ht="40" customHeight="1">
      <x:c r="A87" s="22" t="str">
        <x:v>I15</x:v>
      </x:c>
      <x:c r="B87" s="22" t="str">
        <x:v>机加工设备套件</x:v>
      </x:c>
      <x:c r="C87" s="22" t="str">
        <x:v>M_CU</x:v>
      </x:c>
      <x:c r="D87" s="30" t="n">
        <x:v>3</x:v>
      </x:c>
      <x:c r="E87" s="30" t="n">
        <x:v>1</x:v>
      </x:c>
      <x:c r="F87" s="31" t="n">
        <x:f>D87/E87</x:f>
        <x:v>3</x:v>
      </x:c>
      <x:c r="G87" s="22" t="str">
        <x:v>kg</x:v>
      </x:c>
      <x:c r="H87" s="22" t="str">
        <x:v>H</x:v>
      </x:c>
      <x:c r="I87" s="22" t="str"/>
      <x:c r="J87" s="22" t="str">
        <x:v>本回答设定；不是文献实测</x:v>
      </x:c>
    </x:row>
    <x:row r="88" ht="40" customHeight="1">
      <x:c r="A88" s="22" t="str">
        <x:v>I15</x:v>
      </x:c>
      <x:c r="B88" s="22" t="str">
        <x:v>机加工设备套件</x:v>
      </x:c>
      <x:c r="C88" s="22" t="str">
        <x:v>M_CER</x:v>
      </x:c>
      <x:c r="D88" s="30" t="n">
        <x:v>2</x:v>
      </x:c>
      <x:c r="E88" s="30" t="n">
        <x:v>1</x:v>
      </x:c>
      <x:c r="F88" s="31" t="n">
        <x:f>D88/E88</x:f>
        <x:v>2</x:v>
      </x:c>
      <x:c r="G88" s="22" t="str">
        <x:v>kg</x:v>
      </x:c>
      <x:c r="H88" s="22" t="str">
        <x:v>H</x:v>
      </x:c>
      <x:c r="I88" s="22" t="str"/>
      <x:c r="J88" s="22" t="str">
        <x:v>本回答设定；不是文献实测</x:v>
      </x:c>
    </x:row>
    <x:row r="89" ht="40" customHeight="1">
      <x:c r="A89" s="22" t="str">
        <x:v>I15</x:v>
      </x:c>
      <x:c r="B89" s="22" t="str">
        <x:v>机加工设备套件</x:v>
      </x:c>
      <x:c r="C89" s="22" t="str">
        <x:v>M_LUB</x:v>
      </x:c>
      <x:c r="D89" s="30" t="n">
        <x:v>1</x:v>
      </x:c>
      <x:c r="E89" s="30" t="n">
        <x:v>1</x:v>
      </x:c>
      <x:c r="F89" s="31" t="n">
        <x:f>D89/E89</x:f>
        <x:v>1</x:v>
      </x:c>
      <x:c r="G89" s="22" t="str">
        <x:v>kg</x:v>
      </x:c>
      <x:c r="H89" s="22" t="str">
        <x:v>H</x:v>
      </x:c>
      <x:c r="I89" s="22" t="str"/>
      <x:c r="J89" s="22" t="str">
        <x:v>本回答设定；不是文献实测</x:v>
      </x:c>
    </x:row>
    <x:row r="90" ht="40" customHeight="1">
      <x:c r="A90" s="22" t="str">
        <x:v>I15</x:v>
      </x:c>
      <x:c r="B90" s="22" t="str">
        <x:v>机加工设备套件</x:v>
      </x:c>
      <x:c r="C90" s="22" t="str">
        <x:v>X01</x:v>
      </x:c>
      <x:c r="D90" s="30" t="n">
        <x:v>2</x:v>
      </x:c>
      <x:c r="E90" s="30" t="n">
        <x:v>1</x:v>
      </x:c>
      <x:c r="F90" s="31" t="n">
        <x:f>D90/E90</x:f>
        <x:v>2</x:v>
      </x:c>
      <x:c r="G90" s="22" t="str">
        <x:v>kg</x:v>
      </x:c>
      <x:c r="H90" s="22" t="str">
        <x:v>H</x:v>
      </x:c>
      <x:c r="I90" s="22" t="str"/>
      <x:c r="J90" s="22" t="str">
        <x:v>本回答设定；不是文献实测</x:v>
      </x:c>
    </x:row>
    <x:row r="91" ht="40" customHeight="1">
      <x:c r="A91" s="22" t="str">
        <x:v>I15</x:v>
      </x:c>
      <x:c r="B91" s="22" t="str">
        <x:v>机加工设备套件</x:v>
      </x:c>
      <x:c r="C91" s="22" t="str">
        <x:v>X02</x:v>
      </x:c>
      <x:c r="D91" s="30" t="n">
        <x:v>1</x:v>
      </x:c>
      <x:c r="E91" s="30" t="n">
        <x:v>1</x:v>
      </x:c>
      <x:c r="F91" s="31" t="n">
        <x:f>D91/E91</x:f>
        <x:v>1</x:v>
      </x:c>
      <x:c r="G91" s="22" t="str">
        <x:v>kg</x:v>
      </x:c>
      <x:c r="H91" s="22" t="str">
        <x:v>H</x:v>
      </x:c>
      <x:c r="I91" s="22" t="str"/>
      <x:c r="J91" s="22" t="str">
        <x:v>本回答设定；不是文献实测</x:v>
      </x:c>
    </x:row>
    <x:row r="92" ht="40" customHeight="1">
      <x:c r="A92" s="22" t="str">
        <x:v>I16</x:v>
      </x:c>
      <x:c r="B92" s="22" t="str">
        <x:v>净水设备套件</x:v>
      </x:c>
      <x:c r="C92" s="22" t="str">
        <x:v>M_ST</x:v>
      </x:c>
      <x:c r="D92" s="30" t="n">
        <x:v>20</x:v>
      </x:c>
      <x:c r="E92" s="30" t="n">
        <x:v>1</x:v>
      </x:c>
      <x:c r="F92" s="31" t="n">
        <x:f>D92/E92</x:f>
        <x:v>20</x:v>
      </x:c>
      <x:c r="G92" s="22" t="str">
        <x:v>kg</x:v>
      </x:c>
      <x:c r="H92" s="22" t="str">
        <x:v>H</x:v>
      </x:c>
      <x:c r="I92" s="22" t="str"/>
      <x:c r="J92" s="22" t="str">
        <x:v>本回答设定；不是文献实测</x:v>
      </x:c>
    </x:row>
    <x:row r="93" ht="40" customHeight="1">
      <x:c r="A93" s="22" t="str">
        <x:v>I16</x:v>
      </x:c>
      <x:c r="B93" s="22" t="str">
        <x:v>净水设备套件</x:v>
      </x:c>
      <x:c r="C93" s="22" t="str">
        <x:v>M_PE</x:v>
      </x:c>
      <x:c r="D93" s="30" t="n">
        <x:v>5</x:v>
      </x:c>
      <x:c r="E93" s="30" t="n">
        <x:v>1</x:v>
      </x:c>
      <x:c r="F93" s="31" t="n">
        <x:f>D93/E93</x:f>
        <x:v>5</x:v>
      </x:c>
      <x:c r="G93" s="22" t="str">
        <x:v>kg</x:v>
      </x:c>
      <x:c r="H93" s="22" t="str">
        <x:v>H</x:v>
      </x:c>
      <x:c r="I93" s="22" t="str"/>
      <x:c r="J93" s="22" t="str">
        <x:v>本回答设定；不是文献实测</x:v>
      </x:c>
    </x:row>
    <x:row r="94" ht="40" customHeight="1">
      <x:c r="A94" s="22" t="str">
        <x:v>I16</x:v>
      </x:c>
      <x:c r="B94" s="22" t="str">
        <x:v>净水设备套件</x:v>
      </x:c>
      <x:c r="C94" s="22" t="str">
        <x:v>M_GL</x:v>
      </x:c>
      <x:c r="D94" s="30" t="n">
        <x:v>1</x:v>
      </x:c>
      <x:c r="E94" s="30" t="n">
        <x:v>1</x:v>
      </x:c>
      <x:c r="F94" s="31" t="n">
        <x:f>D94/E94</x:f>
        <x:v>1</x:v>
      </x:c>
      <x:c r="G94" s="22" t="str">
        <x:v>kg</x:v>
      </x:c>
      <x:c r="H94" s="22" t="str">
        <x:v>H</x:v>
      </x:c>
      <x:c r="I94" s="22" t="str"/>
      <x:c r="J94" s="22" t="str">
        <x:v>本回答设定；不是文献实测</x:v>
      </x:c>
    </x:row>
    <x:row r="95" ht="40" customHeight="1">
      <x:c r="A95" s="22" t="str">
        <x:v>I16</x:v>
      </x:c>
      <x:c r="B95" s="22" t="str">
        <x:v>净水设备套件</x:v>
      </x:c>
      <x:c r="C95" s="22" t="str">
        <x:v>M_CU</x:v>
      </x:c>
      <x:c r="D95" s="30" t="n">
        <x:v>1</x:v>
      </x:c>
      <x:c r="E95" s="30" t="n">
        <x:v>1</x:v>
      </x:c>
      <x:c r="F95" s="31" t="n">
        <x:f>D95/E95</x:f>
        <x:v>1</x:v>
      </x:c>
      <x:c r="G95" s="22" t="str">
        <x:v>kg</x:v>
      </x:c>
      <x:c r="H95" s="22" t="str">
        <x:v>H</x:v>
      </x:c>
      <x:c r="I95" s="22" t="str"/>
      <x:c r="J95" s="22" t="str">
        <x:v>本回答设定；不是文献实测</x:v>
      </x:c>
    </x:row>
    <x:row r="96" ht="40" customHeight="1">
      <x:c r="A96" s="22" t="str">
        <x:v>I16</x:v>
      </x:c>
      <x:c r="B96" s="22" t="str">
        <x:v>净水设备套件</x:v>
      </x:c>
      <x:c r="C96" s="22" t="str">
        <x:v>M_SEAL</x:v>
      </x:c>
      <x:c r="D96" s="30" t="n">
        <x:v>0.5</x:v>
      </x:c>
      <x:c r="E96" s="30" t="n">
        <x:v>1</x:v>
      </x:c>
      <x:c r="F96" s="31" t="n">
        <x:f>D96/E96</x:f>
        <x:v>0.5</x:v>
      </x:c>
      <x:c r="G96" s="22" t="str">
        <x:v>kg</x:v>
      </x:c>
      <x:c r="H96" s="22" t="str">
        <x:v>H</x:v>
      </x:c>
      <x:c r="I96" s="22" t="str"/>
      <x:c r="J96" s="22" t="str">
        <x:v>本回答设定；不是文献实测</x:v>
      </x:c>
    </x:row>
    <x:row r="97" ht="40" customHeight="1">
      <x:c r="A97" s="22" t="str">
        <x:v>I16</x:v>
      </x:c>
      <x:c r="B97" s="22" t="str">
        <x:v>净水设备套件</x:v>
      </x:c>
      <x:c r="C97" s="22" t="str">
        <x:v>X03</x:v>
      </x:c>
      <x:c r="D97" s="30" t="n">
        <x:v>0.2</x:v>
      </x:c>
      <x:c r="E97" s="30" t="n">
        <x:v>1</x:v>
      </x:c>
      <x:c r="F97" s="31" t="n">
        <x:f>D97/E97</x:f>
        <x:v>0.2</x:v>
      </x:c>
      <x:c r="G97" s="22" t="str">
        <x:v>kg</x:v>
      </x:c>
      <x:c r="H97" s="22" t="str">
        <x:v>H</x:v>
      </x:c>
      <x:c r="I97" s="22" t="str"/>
      <x:c r="J97" s="22" t="str">
        <x:v>本回答设定；不是文献实测</x:v>
      </x:c>
    </x:row>
    <x:row r="98" ht="40" customHeight="1">
      <x:c r="A98" s="22" t="str">
        <x:v>I16</x:v>
      </x:c>
      <x:c r="B98" s="22" t="str">
        <x:v>净水设备套件</x:v>
      </x:c>
      <x:c r="C98" s="22" t="str">
        <x:v>X01</x:v>
      </x:c>
      <x:c r="D98" s="30" t="n">
        <x:v>0.5</x:v>
      </x:c>
      <x:c r="E98" s="30" t="n">
        <x:v>1</x:v>
      </x:c>
      <x:c r="F98" s="31" t="n">
        <x:f>D98/E98</x:f>
        <x:v>0.5</x:v>
      </x:c>
      <x:c r="G98" s="22" t="str">
        <x:v>kg</x:v>
      </x:c>
      <x:c r="H98" s="22" t="str">
        <x:v>H</x:v>
      </x:c>
      <x:c r="I98" s="22" t="str"/>
      <x:c r="J98" s="22" t="str">
        <x:v>本回答设定；不是文献实测</x:v>
      </x:c>
    </x:row>
    <x:row r="99" ht="40" customHeight="1">
      <x:c r="A99" s="22" t="str">
        <x:v>I17</x:v>
      </x:c>
      <x:c r="B99" s="22" t="str">
        <x:v>气体处理设备套件</x:v>
      </x:c>
      <x:c r="C99" s="22" t="str">
        <x:v>M_ST</x:v>
      </x:c>
      <x:c r="D99" s="30" t="n">
        <x:v>20</x:v>
      </x:c>
      <x:c r="E99" s="30" t="n">
        <x:v>1</x:v>
      </x:c>
      <x:c r="F99" s="31" t="n">
        <x:f>D99/E99</x:f>
        <x:v>20</x:v>
      </x:c>
      <x:c r="G99" s="22" t="str">
        <x:v>kg</x:v>
      </x:c>
      <x:c r="H99" s="22" t="str">
        <x:v>H</x:v>
      </x:c>
      <x:c r="I99" s="22" t="str"/>
      <x:c r="J99" s="22" t="str">
        <x:v>本回答设定；不是文献实测</x:v>
      </x:c>
    </x:row>
    <x:row r="100" ht="40" customHeight="1">
      <x:c r="A100" s="22" t="str">
        <x:v>I17</x:v>
      </x:c>
      <x:c r="B100" s="22" t="str">
        <x:v>气体处理设备套件</x:v>
      </x:c>
      <x:c r="C100" s="22" t="str">
        <x:v>M_CU</x:v>
      </x:c>
      <x:c r="D100" s="30" t="n">
        <x:v>2</x:v>
      </x:c>
      <x:c r="E100" s="30" t="n">
        <x:v>1</x:v>
      </x:c>
      <x:c r="F100" s="31" t="n">
        <x:f>D100/E100</x:f>
        <x:v>2</x:v>
      </x:c>
      <x:c r="G100" s="22" t="str">
        <x:v>kg</x:v>
      </x:c>
      <x:c r="H100" s="22" t="str">
        <x:v>H</x:v>
      </x:c>
      <x:c r="I100" s="22" t="str"/>
      <x:c r="J100" s="22" t="str">
        <x:v>本回答设定；不是文献实测</x:v>
      </x:c>
    </x:row>
    <x:row r="101" ht="40" customHeight="1">
      <x:c r="A101" s="22" t="str">
        <x:v>I17</x:v>
      </x:c>
      <x:c r="B101" s="22" t="str">
        <x:v>气体处理设备套件</x:v>
      </x:c>
      <x:c r="C101" s="22" t="str">
        <x:v>M_GL</x:v>
      </x:c>
      <x:c r="D101" s="30" t="n">
        <x:v>2</x:v>
      </x:c>
      <x:c r="E101" s="30" t="n">
        <x:v>1</x:v>
      </x:c>
      <x:c r="F101" s="31" t="n">
        <x:f>D101/E101</x:f>
        <x:v>2</x:v>
      </x:c>
      <x:c r="G101" s="22" t="str">
        <x:v>kg</x:v>
      </x:c>
      <x:c r="H101" s="22" t="str">
        <x:v>H</x:v>
      </x:c>
      <x:c r="I101" s="22" t="str"/>
      <x:c r="J101" s="22" t="str">
        <x:v>本回答设定；不是文献实测</x:v>
      </x:c>
    </x:row>
    <x:row r="102" ht="40" customHeight="1">
      <x:c r="A102" s="22" t="str">
        <x:v>I17</x:v>
      </x:c>
      <x:c r="B102" s="22" t="str">
        <x:v>气体处理设备套件</x:v>
      </x:c>
      <x:c r="C102" s="22" t="str">
        <x:v>R06</x:v>
      </x:c>
      <x:c r="D102" s="30" t="n">
        <x:v>2</x:v>
      </x:c>
      <x:c r="E102" s="30" t="n">
        <x:v>1</x:v>
      </x:c>
      <x:c r="F102" s="31" t="n">
        <x:f>D102/E102</x:f>
        <x:v>2</x:v>
      </x:c>
      <x:c r="G102" s="22" t="str">
        <x:v>kg有效组分当量</x:v>
      </x:c>
      <x:c r="H102" s="22" t="str">
        <x:v>H</x:v>
      </x:c>
      <x:c r="I102" s="22" t="str"/>
      <x:c r="J102" s="22" t="str">
        <x:v>本回答设定；不是文献实测</x:v>
      </x:c>
    </x:row>
    <x:row r="103" ht="40" customHeight="1">
      <x:c r="A103" s="22" t="str">
        <x:v>I17</x:v>
      </x:c>
      <x:c r="B103" s="22" t="str">
        <x:v>气体处理设备套件</x:v>
      </x:c>
      <x:c r="C103" s="22" t="str">
        <x:v>M_SEAL</x:v>
      </x:c>
      <x:c r="D103" s="30" t="n">
        <x:v>0.5</x:v>
      </x:c>
      <x:c r="E103" s="30" t="n">
        <x:v>1</x:v>
      </x:c>
      <x:c r="F103" s="31" t="n">
        <x:f>D103/E103</x:f>
        <x:v>0.5</x:v>
      </x:c>
      <x:c r="G103" s="22" t="str">
        <x:v>kg</x:v>
      </x:c>
      <x:c r="H103" s="22" t="str">
        <x:v>H</x:v>
      </x:c>
      <x:c r="I103" s="22" t="str"/>
      <x:c r="J103" s="22" t="str">
        <x:v>本回答设定；不是文献实测</x:v>
      </x:c>
    </x:row>
    <x:row r="104" ht="40" customHeight="1">
      <x:c r="A104" s="22" t="str">
        <x:v>I17</x:v>
      </x:c>
      <x:c r="B104" s="22" t="str">
        <x:v>气体处理设备套件</x:v>
      </x:c>
      <x:c r="C104" s="22" t="str">
        <x:v>X03</x:v>
      </x:c>
      <x:c r="D104" s="30" t="n">
        <x:v>1</x:v>
      </x:c>
      <x:c r="E104" s="30" t="n">
        <x:v>1</x:v>
      </x:c>
      <x:c r="F104" s="31" t="n">
        <x:f>D104/E104</x:f>
        <x:v>1</x:v>
      </x:c>
      <x:c r="G104" s="22" t="str">
        <x:v>kg</x:v>
      </x:c>
      <x:c r="H104" s="22" t="str">
        <x:v>H</x:v>
      </x:c>
      <x:c r="I104" s="22" t="str"/>
      <x:c r="J104" s="22" t="str">
        <x:v>本回答设定；不是文献实测</x:v>
      </x:c>
    </x:row>
    <x:row r="105" ht="40" customHeight="1">
      <x:c r="A105" s="22" t="str">
        <x:v>I17</x:v>
      </x:c>
      <x:c r="B105" s="22" t="str">
        <x:v>气体处理设备套件</x:v>
      </x:c>
      <x:c r="C105" s="22" t="str">
        <x:v>X01</x:v>
      </x:c>
      <x:c r="D105" s="30" t="n">
        <x:v>0.5</x:v>
      </x:c>
      <x:c r="E105" s="30" t="n">
        <x:v>1</x:v>
      </x:c>
      <x:c r="F105" s="31" t="n">
        <x:f>D105/E105</x:f>
        <x:v>0.5</x:v>
      </x:c>
      <x:c r="G105" s="22" t="str">
        <x:v>kg</x:v>
      </x:c>
      <x:c r="H105" s="22" t="str">
        <x:v>H</x:v>
      </x:c>
      <x:c r="I105" s="22" t="str"/>
      <x:c r="J105" s="22" t="str">
        <x:v>本回答设定；不是文献实测</x:v>
      </x:c>
    </x:row>
    <x:row r="106" ht="40" customHeight="1">
      <x:c r="A106" s="22" t="str">
        <x:v>I18</x:v>
      </x:c>
      <x:c r="B106" s="22" t="str">
        <x:v>居住/厂房围护构件套件</x:v>
      </x:c>
      <x:c r="C106" s="22" t="str">
        <x:v>M_ST</x:v>
      </x:c>
      <x:c r="D106" s="30" t="n">
        <x:v>20</x:v>
      </x:c>
      <x:c r="E106" s="30" t="n">
        <x:v>1</x:v>
      </x:c>
      <x:c r="F106" s="31" t="n">
        <x:f>D106/E106</x:f>
        <x:v>20</x:v>
      </x:c>
      <x:c r="G106" s="22" t="str">
        <x:v>kg</x:v>
      </x:c>
      <x:c r="H106" s="22" t="str">
        <x:v>H</x:v>
      </x:c>
      <x:c r="I106" s="22" t="str"/>
      <x:c r="J106" s="22" t="str">
        <x:v>本回答设定；不是文献实测</x:v>
      </x:c>
    </x:row>
    <x:row r="107" ht="40" customHeight="1">
      <x:c r="A107" s="22" t="str">
        <x:v>I18</x:v>
      </x:c>
      <x:c r="B107" s="22" t="str">
        <x:v>居住/厂房围护构件套件</x:v>
      </x:c>
      <x:c r="C107" s="22" t="str">
        <x:v>M_GL</x:v>
      </x:c>
      <x:c r="D107" s="30" t="n">
        <x:v>11</x:v>
      </x:c>
      <x:c r="E107" s="30" t="n">
        <x:v>1</x:v>
      </x:c>
      <x:c r="F107" s="31" t="n">
        <x:f>D107/E107</x:f>
        <x:v>11</x:v>
      </x:c>
      <x:c r="G107" s="22" t="str">
        <x:v>kg</x:v>
      </x:c>
      <x:c r="H107" s="22" t="str">
        <x:v>H</x:v>
      </x:c>
      <x:c r="I107" s="22" t="str"/>
      <x:c r="J107" s="22" t="str">
        <x:v>本回答设定；不是文献实测</x:v>
      </x:c>
    </x:row>
    <x:row r="108" ht="40" customHeight="1">
      <x:c r="A108" s="22" t="str">
        <x:v>I18</x:v>
      </x:c>
      <x:c r="B108" s="22" t="str">
        <x:v>居住/厂房围护构件套件</x:v>
      </x:c>
      <x:c r="C108" s="22" t="str">
        <x:v>M_FIB</x:v>
      </x:c>
      <x:c r="D108" s="30" t="n">
        <x:v>5</x:v>
      </x:c>
      <x:c r="E108" s="30" t="n">
        <x:v>1</x:v>
      </x:c>
      <x:c r="F108" s="31" t="n">
        <x:f>D108/E108</x:f>
        <x:v>5</x:v>
      </x:c>
      <x:c r="G108" s="22" t="str">
        <x:v>kg</x:v>
      </x:c>
      <x:c r="H108" s="22" t="str">
        <x:v>H</x:v>
      </x:c>
      <x:c r="I108" s="22" t="str"/>
      <x:c r="J108" s="22" t="str">
        <x:v>本回答设定；不是文献实测</x:v>
      </x:c>
    </x:row>
    <x:row r="109" ht="40" customHeight="1">
      <x:c r="A109" s="22" t="str">
        <x:v>I18</x:v>
      </x:c>
      <x:c r="B109" s="22" t="str">
        <x:v>居住/厂房围护构件套件</x:v>
      </x:c>
      <x:c r="C109" s="22" t="str">
        <x:v>M_PE</x:v>
      </x:c>
      <x:c r="D109" s="30" t="n">
        <x:v>1</x:v>
      </x:c>
      <x:c r="E109" s="30" t="n">
        <x:v>1</x:v>
      </x:c>
      <x:c r="F109" s="31" t="n">
        <x:f>D109/E109</x:f>
        <x:v>1</x:v>
      </x:c>
      <x:c r="G109" s="22" t="str">
        <x:v>kg</x:v>
      </x:c>
      <x:c r="H109" s="22" t="str">
        <x:v>H</x:v>
      </x:c>
      <x:c r="I109" s="22" t="str"/>
      <x:c r="J109" s="22" t="str">
        <x:v>本回答设定；不是文献实测</x:v>
      </x:c>
    </x:row>
    <x:row r="110" ht="40" customHeight="1">
      <x:c r="A110" s="22" t="str">
        <x:v>I18</x:v>
      </x:c>
      <x:c r="B110" s="22" t="str">
        <x:v>居住/厂房围护构件套件</x:v>
      </x:c>
      <x:c r="C110" s="22" t="str">
        <x:v>M_SEAL</x:v>
      </x:c>
      <x:c r="D110" s="30" t="n">
        <x:v>0.2</x:v>
      </x:c>
      <x:c r="E110" s="30" t="n">
        <x:v>1</x:v>
      </x:c>
      <x:c r="F110" s="31" t="n">
        <x:f>D110/E110</x:f>
        <x:v>0.2</x:v>
      </x:c>
      <x:c r="G110" s="22" t="str">
        <x:v>kg</x:v>
      </x:c>
      <x:c r="H110" s="22" t="str">
        <x:v>H</x:v>
      </x:c>
      <x:c r="I110" s="22" t="str"/>
      <x:c r="J110" s="22" t="str">
        <x:v>本回答设定；不是文献实测</x:v>
      </x:c>
    </x:row>
    <x:row r="111" ht="40" customHeight="1">
      <x:c r="A111" s="22" t="str">
        <x:v>I18</x:v>
      </x:c>
      <x:c r="B111" s="22" t="str">
        <x:v>居住/厂房围护构件套件</x:v>
      </x:c>
      <x:c r="C111" s="22" t="str">
        <x:v>X02</x:v>
      </x:c>
      <x:c r="D111" s="30" t="n">
        <x:v>0.1</x:v>
      </x:c>
      <x:c r="E111" s="30" t="n">
        <x:v>1</x:v>
      </x:c>
      <x:c r="F111" s="31" t="n">
        <x:f>D111/E111</x:f>
        <x:v>0.1</x:v>
      </x:c>
      <x:c r="G111" s="22" t="str">
        <x:v>kg</x:v>
      </x:c>
      <x:c r="H111" s="22" t="str">
        <x:v>H</x:v>
      </x:c>
      <x:c r="I111" s="22" t="str"/>
      <x:c r="J111" s="22" t="str">
        <x:v>本回答设定；不是文献实测</x:v>
      </x:c>
    </x:row>
    <x:row r="112" ht="40" customHeight="1">
      <x:c r="A112" s="22" t="str">
        <x:v>I19</x:v>
      </x:c>
      <x:c r="B112" s="22" t="str">
        <x:v>机械阀门套件</x:v>
      </x:c>
      <x:c r="C112" s="22" t="str">
        <x:v>M_ST</x:v>
      </x:c>
      <x:c r="D112" s="30" t="n">
        <x:v>0.9</x:v>
      </x:c>
      <x:c r="E112" s="30" t="n">
        <x:v>1</x:v>
      </x:c>
      <x:c r="F112" s="31" t="n">
        <x:f>D112/E112</x:f>
        <x:v>0.9</x:v>
      </x:c>
      <x:c r="G112" s="22" t="str">
        <x:v>kg</x:v>
      </x:c>
      <x:c r="H112" s="22" t="str">
        <x:v>H</x:v>
      </x:c>
      <x:c r="I112" s="22" t="str"/>
      <x:c r="J112" s="22" t="str">
        <x:v>本回答设定；不是文献实测</x:v>
      </x:c>
    </x:row>
    <x:row r="113" ht="40" customHeight="1">
      <x:c r="A113" s="22" t="str">
        <x:v>I19</x:v>
      </x:c>
      <x:c r="B113" s="22" t="str">
        <x:v>机械阀门套件</x:v>
      </x:c>
      <x:c r="C113" s="22" t="str">
        <x:v>M_SEAL</x:v>
      </x:c>
      <x:c r="D113" s="30" t="n">
        <x:v>0.03</x:v>
      </x:c>
      <x:c r="E113" s="30" t="n">
        <x:v>1</x:v>
      </x:c>
      <x:c r="F113" s="31" t="n">
        <x:f>D113/E113</x:f>
        <x:v>0.03</x:v>
      </x:c>
      <x:c r="G113" s="22" t="str">
        <x:v>kg</x:v>
      </x:c>
      <x:c r="H113" s="22" t="str">
        <x:v>H</x:v>
      </x:c>
      <x:c r="I113" s="22" t="str"/>
      <x:c r="J113" s="22" t="str">
        <x:v>本回答设定；不是文献实测</x:v>
      </x:c>
    </x:row>
    <x:row r="114" ht="40" customHeight="1">
      <x:c r="A114" s="22" t="str">
        <x:v>I19</x:v>
      </x:c>
      <x:c r="B114" s="22" t="str">
        <x:v>机械阀门套件</x:v>
      </x:c>
      <x:c r="C114" s="22" t="str">
        <x:v>X02</x:v>
      </x:c>
      <x:c r="D114" s="30" t="n">
        <x:v>0.02</x:v>
      </x:c>
      <x:c r="E114" s="30" t="n">
        <x:v>1</x:v>
      </x:c>
      <x:c r="F114" s="31" t="n">
        <x:f>D114/E114</x:f>
        <x:v>0.02</x:v>
      </x:c>
      <x:c r="G114" s="22" t="str">
        <x:v>kg</x:v>
      </x:c>
      <x:c r="H114" s="22" t="str">
        <x:v>H</x:v>
      </x:c>
      <x:c r="I114" s="22" t="str"/>
      <x:c r="J114" s="22" t="str">
        <x:v>本回答设定；不是文献实测</x:v>
      </x:c>
    </x:row>
    <x:row r="115" ht="40" customHeight="1">
      <x:c r="A115" s="22" t="str">
        <x:v>I20</x:v>
      </x:c>
      <x:c r="B115" s="22" t="str">
        <x:v>绝缘电缆</x:v>
      </x:c>
      <x:c r="C115" s="22" t="str">
        <x:v>M_CU</x:v>
      </x:c>
      <x:c r="D115" s="30" t="n">
        <x:v>0.8</x:v>
      </x:c>
      <x:c r="E115" s="30" t="n">
        <x:v>1</x:v>
      </x:c>
      <x:c r="F115" s="31" t="n">
        <x:f>D115/E115</x:f>
        <x:v>0.8</x:v>
      </x:c>
      <x:c r="G115" s="22" t="str">
        <x:v>kg</x:v>
      </x:c>
      <x:c r="H115" s="22" t="str">
        <x:v>H</x:v>
      </x:c>
      <x:c r="I115" s="22" t="str"/>
      <x:c r="J115" s="22" t="str">
        <x:v>本回答设定；不是文献实测</x:v>
      </x:c>
    </x:row>
    <x:row r="116" ht="40" customHeight="1">
      <x:c r="A116" s="22" t="str">
        <x:v>I20</x:v>
      </x:c>
      <x:c r="B116" s="22" t="str">
        <x:v>绝缘电缆</x:v>
      </x:c>
      <x:c r="C116" s="22" t="str">
        <x:v>M_PE</x:v>
      </x:c>
      <x:c r="D116" s="30" t="n">
        <x:v>0.2</x:v>
      </x:c>
      <x:c r="E116" s="30" t="n">
        <x:v>1</x:v>
      </x:c>
      <x:c r="F116" s="31" t="n">
        <x:f>D116/E116</x:f>
        <x:v>0.2</x:v>
      </x:c>
      <x:c r="G116" s="22" t="str">
        <x:v>kg</x:v>
      </x:c>
      <x:c r="H116" s="22" t="str">
        <x:v>H</x:v>
      </x:c>
      <x:c r="I116" s="22" t="str"/>
      <x:c r="J116" s="22" t="str">
        <x:v>本回答设定；不是文献实测</x:v>
      </x:c>
    </x:row>
    <x:row r="117" ht="40" customHeight="1">
      <x:c r="A117" s="22" t="str">
        <x:v>A01</x:v>
      </x:c>
      <x:c r="B117" s="22" t="str">
        <x:v>净水</x:v>
      </x:c>
      <x:c r="C117" s="22" t="str">
        <x:v>M_W</x:v>
      </x:c>
      <x:c r="D117" s="30" t="n">
        <x:v>1</x:v>
      </x:c>
      <x:c r="E117" s="30" t="n">
        <x:v>1</x:v>
      </x:c>
      <x:c r="F117" s="31" t="n">
        <x:f>D117/E117</x:f>
        <x:v>1</x:v>
      </x:c>
      <x:c r="G117" s="22" t="str">
        <x:v>kg</x:v>
      </x:c>
      <x:c r="H117" s="22" t="str">
        <x:v>T</x:v>
      </x:c>
      <x:c r="I117" s="22" t="str"/>
      <x:c r="J117" s="22" t="str">
        <x:v>https://www.usgs.gov/publications/subsurface-water-ice-mapping-mars-a-probabilistic-approach</x:v>
      </x:c>
    </x:row>
    <x:row r="118" ht="40" customHeight="1">
      <x:c r="A118" s="22" t="str">
        <x:v>A02</x:v>
      </x:c>
      <x:c r="B118" s="22" t="str">
        <x:v>无水硝酸钙肥料当量</x:v>
      </x:c>
      <x:c r="C118" s="22" t="str">
        <x:v>R08</x:v>
      </x:c>
      <x:c r="D118" s="30" t="n">
        <x:v>0.609960630401131</x:v>
      </x:c>
      <x:c r="E118" s="30" t="n">
        <x:v>1</x:v>
      </x:c>
      <x:c r="F118" s="31" t="n">
        <x:f>D118/E118</x:f>
        <x:v>0.609960630401131</x:v>
      </x:c>
      <x:c r="G118" s="22" t="str">
        <x:v>kg有效组分当量</x:v>
      </x:c>
      <x:c r="H118" s="22" t="str">
        <x:v>T</x:v>
      </x:c>
      <x:c r="I118" s="22" t="str">
        <x:v>按纯盐主计量；不是可直接投放的完整水培配方</x:v>
      </x:c>
      <x:c r="J118" s="22" t="str">
        <x:v>本回答设定；不是文献实测</x:v>
      </x:c>
    </x:row>
    <x:row r="119" ht="40" customHeight="1">
      <x:c r="A119" s="22" t="str">
        <x:v>A02</x:v>
      </x:c>
      <x:c r="B119" s="22" t="str">
        <x:v>无水硝酸钙肥料当量</x:v>
      </x:c>
      <x:c r="C119" s="22" t="str">
        <x:v>M_HNO3</x:v>
      </x:c>
      <x:c r="D119" s="30" t="n">
        <x:v>0.7680362736613726</x:v>
      </x:c>
      <x:c r="E119" s="30" t="n">
        <x:v>1</x:v>
      </x:c>
      <x:c r="F119" s="31" t="n">
        <x:f>D119/E119</x:f>
        <x:v>0.7680362736613726</x:v>
      </x:c>
      <x:c r="G119" s="22" t="str">
        <x:v>kg</x:v>
      </x:c>
      <x:c r="H119" s="22" t="str">
        <x:v>T</x:v>
      </x:c>
      <x:c r="I119" s="22" t="str">
        <x:v>按纯盐主计量；不是可直接投放的完整水培配方</x:v>
      </x:c>
      <x:c r="J119" s="22" t="str">
        <x:v>本回答设定；不是文献实测</x:v>
      </x:c>
    </x:row>
    <x:row r="120" ht="40" customHeight="1">
      <x:c r="A120" s="22" t="str">
        <x:v>A03</x:v>
      </x:c>
      <x:c r="B120" s="22" t="str">
        <x:v>磷酸一铵肥料当量</x:v>
      </x:c>
      <x:c r="C120" s="22" t="str">
        <x:v>M_NH3</x:v>
      </x:c>
      <x:c r="D120" s="30" t="n">
        <x:v>0.1480634644642469</x:v>
      </x:c>
      <x:c r="E120" s="30" t="n">
        <x:v>1</x:v>
      </x:c>
      <x:c r="F120" s="31" t="n">
        <x:f>D120/E120</x:f>
        <x:v>0.1480634644642469</x:v>
      </x:c>
      <x:c r="G120" s="22" t="str">
        <x:v>kg</x:v>
      </x:c>
      <x:c r="H120" s="22" t="str">
        <x:v>T</x:v>
      </x:c>
      <x:c r="I120" s="22" t="str">
        <x:v>需与硝态氮及其他盐配平；非万能肥</x:v>
      </x:c>
      <x:c r="J120" s="22" t="str">
        <x:v>本回答设定；不是文献实测</x:v>
      </x:c>
    </x:row>
    <x:row r="121" ht="40" customHeight="1">
      <x:c r="A121" s="22" t="str">
        <x:v>A03</x:v>
      </x:c>
      <x:c r="B121" s="22" t="str">
        <x:v>磷酸一铵肥料当量</x:v>
      </x:c>
      <x:c r="C121" s="22" t="str">
        <x:v>M_PACID</x:v>
      </x:c>
      <x:c r="D121" s="30" t="n">
        <x:v>0.8519365355357531</x:v>
      </x:c>
      <x:c r="E121" s="30" t="n">
        <x:v>1</x:v>
      </x:c>
      <x:c r="F121" s="31" t="n">
        <x:f>D121/E121</x:f>
        <x:v>0.8519365355357531</x:v>
      </x:c>
      <x:c r="G121" s="22" t="str">
        <x:v>kg</x:v>
      </x:c>
      <x:c r="H121" s="22" t="str">
        <x:v>T</x:v>
      </x:c>
      <x:c r="I121" s="22" t="str">
        <x:v>需与硝态氮及其他盐配平；非万能肥</x:v>
      </x:c>
      <x:c r="J121" s="22" t="str">
        <x:v>本回答设定；不是文献实测</x:v>
      </x:c>
    </x:row>
    <x:row r="122" ht="40" customHeight="1">
      <x:c r="A122" s="22" t="str">
        <x:v>A04</x:v>
      </x:c>
      <x:c r="B122" s="22" t="str">
        <x:v>硫酸钾肥料</x:v>
      </x:c>
      <x:c r="C122" s="22" t="str">
        <x:v>R11</x:v>
      </x:c>
      <x:c r="D122" s="30" t="n">
        <x:v>0.8556343686155682</x:v>
      </x:c>
      <x:c r="E122" s="30" t="n">
        <x:v>1</x:v>
      </x:c>
      <x:c r="F122" s="31" t="n">
        <x:f>D122/E122</x:f>
        <x:v>0.8556343686155682</x:v>
      </x:c>
      <x:c r="G122" s="22" t="str">
        <x:v>kg有效组分当量</x:v>
      </x:c>
      <x:c r="H122" s="22" t="str">
        <x:v>T/U</x:v>
      </x:c>
      <x:c r="I122" s="22" t="str">
        <x:v>以假设钾盐矿为条件；未证实则不能开工</x:v>
      </x:c>
      <x:c r="J122" s="22" t="str">
        <x:v>本回答设定；不是文献实测</x:v>
      </x:c>
    </x:row>
    <x:row r="123" ht="40" customHeight="1">
      <x:c r="A123" s="22" t="str">
        <x:v>A04</x:v>
      </x:c>
      <x:c r="B123" s="22" t="str">
        <x:v>硫酸钾肥料</x:v>
      </x:c>
      <x:c r="C123" s="22" t="str">
        <x:v>M_ACID</x:v>
      </x:c>
      <x:c r="D123" s="30" t="n">
        <x:v>0.5628170695314831</x:v>
      </x:c>
      <x:c r="E123" s="30" t="n">
        <x:v>1</x:v>
      </x:c>
      <x:c r="F123" s="31" t="n">
        <x:f>D123/E123</x:f>
        <x:v>0.5628170695314831</x:v>
      </x:c>
      <x:c r="G123" s="22" t="str">
        <x:v>kg</x:v>
      </x:c>
      <x:c r="H123" s="22" t="str">
        <x:v>T/U</x:v>
      </x:c>
      <x:c r="I123" s="22" t="str">
        <x:v>以假设钾盐矿为条件；未证实则不能开工</x:v>
      </x:c>
      <x:c r="J123" s="22" t="str">
        <x:v>本回答设定；不是文献实测</x:v>
      </x:c>
    </x:row>
    <x:row r="124" ht="40" customHeight="1">
      <x:c r="A124" s="22" t="str">
        <x:v>A05</x:v>
      </x:c>
      <x:c r="B124" s="22" t="str">
        <x:v>七水硫酸镁肥料</x:v>
      </x:c>
      <x:c r="C124" s="22" t="str">
        <x:v>R12</x:v>
      </x:c>
      <x:c r="D124" s="30" t="n">
        <x:v>0.5614405232364708</x:v>
      </x:c>
      <x:c r="E124" s="30" t="n">
        <x:v>1</x:v>
      </x:c>
      <x:c r="F124" s="31" t="n">
        <x:f>D124/E124</x:f>
        <x:v>0.5614405232364708</x:v>
      </x:c>
      <x:c r="G124" s="22" t="str">
        <x:v>kg有效组分当量</x:v>
      </x:c>
      <x:c r="H124" s="22" t="str">
        <x:v>T</x:v>
      </x:c>
      <x:c r="I124" s="22" t="str">
        <x:v>假定原料为一水盐当量，非所有天然镁盐的通用换算</x:v>
      </x:c>
      <x:c r="J124" s="22" t="str">
        <x:v>本回答设定；不是文献实测</x:v>
      </x:c>
    </x:row>
    <x:row r="125" ht="40" customHeight="1">
      <x:c r="A125" s="22" t="str">
        <x:v>A05</x:v>
      </x:c>
      <x:c r="B125" s="22" t="str">
        <x:v>七水硫酸镁肥料</x:v>
      </x:c>
      <x:c r="C125" s="22" t="str">
        <x:v>M_W</x:v>
      </x:c>
      <x:c r="D125" s="30" t="n">
        <x:v>0.43855947676352924</x:v>
      </x:c>
      <x:c r="E125" s="30" t="n">
        <x:v>1</x:v>
      </x:c>
      <x:c r="F125" s="31" t="n">
        <x:f>D125/E125</x:f>
        <x:v>0.43855947676352924</x:v>
      </x:c>
      <x:c r="G125" s="22" t="str">
        <x:v>kg</x:v>
      </x:c>
      <x:c r="H125" s="22" t="str">
        <x:v>T</x:v>
      </x:c>
      <x:c r="I125" s="22" t="str">
        <x:v>假定原料为一水盐当量，非所有天然镁盐的通用换算</x:v>
      </x:c>
      <x:c r="J125" s="22" t="str">
        <x:v>本回答设定；不是文献实测</x:v>
      </x:c>
    </x:row>
    <x:row r="126" ht="40" customHeight="1">
      <x:c r="A126" s="22" t="str">
        <x:v>A06</x:v>
      </x:c>
      <x:c r="B126" s="22" t="str">
        <x:v>石膏钙硫肥</x:v>
      </x:c>
      <x:c r="C126" s="22" t="str">
        <x:v>R21</x:v>
      </x:c>
      <x:c r="D126" s="30" t="n">
        <x:v>1</x:v>
      </x:c>
      <x:c r="E126" s="30" t="n">
        <x:v>1</x:v>
      </x:c>
      <x:c r="F126" s="31" t="n">
        <x:f>D126/E126</x:f>
        <x:v>1</x:v>
      </x:c>
      <x:c r="G126" s="22" t="str">
        <x:v>kg有效组分当量</x:v>
      </x:c>
      <x:c r="H126" s="22" t="str">
        <x:v>T</x:v>
      </x:c>
      <x:c r="I126" s="22" t="str">
        <x:v>纯化检验另计；A03酸解副产石膏可替代部分需求但不能双算</x:v>
      </x:c>
      <x:c r="J126" s="22" t="str">
        <x:v>本回答设定；不是文献实测</x:v>
      </x:c>
    </x:row>
    <x:row r="127" ht="40" customHeight="1">
      <x:c r="A127" s="22" t="str">
        <x:v>A07</x:v>
      </x:c>
      <x:c r="B127" s="22" t="str">
        <x:v>小麦可食干物质</x:v>
      </x:c>
      <x:c r="C127" s="22" t="str">
        <x:v>R02</x:v>
      </x:c>
      <x:c r="D127" s="30" t="n">
        <x:v>3.6640579468820254</x:v>
      </x:c>
      <x:c r="E127" s="30" t="n">
        <x:v>1</x:v>
      </x:c>
      <x:c r="F127" s="31" t="n">
        <x:f>D127/E127</x:f>
        <x:v>3.6640579468820254</x:v>
      </x:c>
      <x:c r="G127" s="22" t="str">
        <x:v>kg有效组分当量</x:v>
      </x:c>
      <x:c r="H127" s="22" t="str">
        <x:v>H</x:v>
      </x:c>
      <x:c r="I127" s="22" t="str">
        <x:v>作物列仅预核算占位：净固定碳代理+养分元素目标+98%蒸腾冷凝回收；盐氮/钙可能过供，必须经营养配方优化替换。种源为初始生物资本，不是火星天然原料。</x:v>
      </x:c>
      <x:c r="J127" s="22" t="str">
        <x:v>https://ntrs.nasa.gov/citations/20040089951
https://www.esa.int/Enabling_Support/Space_Engineering_Technology/Melissa/Closed_Loop_Compartments</x:v>
      </x:c>
    </x:row>
    <x:row r="128" ht="40" customHeight="1">
      <x:c r="A128" s="22" t="str">
        <x:v>A07</x:v>
      </x:c>
      <x:c r="B128" s="22" t="str">
        <x:v>小麦可食干物质</x:v>
      </x:c>
      <x:c r="C128" s="22" t="str">
        <x:v>M_W</x:v>
      </x:c>
      <x:c r="D128" s="30" t="n">
        <x:v>10.179646164021163</x:v>
      </x:c>
      <x:c r="E128" s="30" t="n">
        <x:v>1</x:v>
      </x:c>
      <x:c r="F128" s="31" t="n">
        <x:f>D128/E128</x:f>
        <x:v>10.179646164021163</x:v>
      </x:c>
      <x:c r="G128" s="22" t="str">
        <x:v>kg</x:v>
      </x:c>
      <x:c r="H128" s="22" t="str">
        <x:v>H</x:v>
      </x:c>
      <x:c r="I128" s="22" t="str">
        <x:v>作物列仅预核算占位：净固定碳代理+养分元素目标+98%蒸腾冷凝回收；盐氮/钙可能过供，必须经营养配方优化替换。种源为初始生物资本，不是火星天然原料。</x:v>
      </x:c>
      <x:c r="J128" s="22" t="str">
        <x:v>https://ntrs.nasa.gov/citations/20040089951
https://www.esa.int/Enabling_Support/Space_Engineering_Technology/Melissa/Closed_Loop_Compartments</x:v>
      </x:c>
    </x:row>
    <x:row r="129" ht="40" customHeight="1">
      <x:c r="A129" s="22" t="str">
        <x:v>A07</x:v>
      </x:c>
      <x:c r="B129" s="22" t="str">
        <x:v>小麦可食干物质</x:v>
      </x:c>
      <x:c r="C129" s="22" t="str">
        <x:v>A02</x:v>
      </x:c>
      <x:c r="D129" s="30" t="n">
        <x:v>0.2888439459669478</x:v>
      </x:c>
      <x:c r="E129" s="30" t="n">
        <x:v>1</x:v>
      </x:c>
      <x:c r="F129" s="31" t="n">
        <x:f>D129/E129</x:f>
        <x:v>0.2888439459669478</x:v>
      </x:c>
      <x:c r="G129" s="22" t="str">
        <x:v>kg</x:v>
      </x:c>
      <x:c r="H129" s="22" t="str">
        <x:v>H</x:v>
      </x:c>
      <x:c r="I129" s="22" t="str">
        <x:v>作物列仅预核算占位：净固定碳代理+养分元素目标+98%蒸腾冷凝回收；盐氮/钙可能过供，必须经营养配方优化替换。种源为初始生物资本，不是火星天然原料。</x:v>
      </x:c>
      <x:c r="J129" s="22" t="str">
        <x:v>https://ntrs.nasa.gov/citations/20040089951
https://www.esa.int/Enabling_Support/Space_Engineering_Technology/Melissa/Closed_Loop_Compartments</x:v>
      </x:c>
    </x:row>
    <x:row r="130" ht="40" customHeight="1">
      <x:c r="A130" s="22" t="str">
        <x:v>A07</x:v>
      </x:c>
      <x:c r="B130" s="22" t="str">
        <x:v>小麦可食干物质</x:v>
      </x:c>
      <x:c r="C130" s="22" t="str">
        <x:v>A03</x:v>
      </x:c>
      <x:c r="D130" s="30" t="n">
        <x:v>0.03300976446195017</x:v>
      </x:c>
      <x:c r="E130" s="30" t="n">
        <x:v>1</x:v>
      </x:c>
      <x:c r="F130" s="31" t="n">
        <x:f>D130/E130</x:f>
        <x:v>0.03300976446195017</x:v>
      </x:c>
      <x:c r="G130" s="22" t="str">
        <x:v>kg</x:v>
      </x:c>
      <x:c r="H130" s="22" t="str">
        <x:v>H</x:v>
      </x:c>
      <x:c r="I130" s="22" t="str">
        <x:v>作物列仅预核算占位：净固定碳代理+养分元素目标+98%蒸腾冷凝回收；盐氮/钙可能过供，必须经营养配方优化替换。种源为初始生物资本，不是火星天然原料。</x:v>
      </x:c>
      <x:c r="J130" s="22" t="str">
        <x:v>https://ntrs.nasa.gov/citations/20040089951
https://www.esa.int/Enabling_Support/Space_Engineering_Technology/Melissa/Closed_Loop_Compartments</x:v>
      </x:c>
    </x:row>
    <x:row r="131" ht="40" customHeight="1">
      <x:c r="A131" s="22" t="str">
        <x:v>A07</x:v>
      </x:c>
      <x:c r="B131" s="22" t="str">
        <x:v>小麦可食干物质</x:v>
      </x:c>
      <x:c r="C131" s="22" t="str">
        <x:v>A04</x:v>
      </x:c>
      <x:c r="D131" s="30" t="n">
        <x:v>0.12380002387163881</x:v>
      </x:c>
      <x:c r="E131" s="30" t="n">
        <x:v>1</x:v>
      </x:c>
      <x:c r="F131" s="31" t="n">
        <x:f>D131/E131</x:f>
        <x:v>0.12380002387163881</x:v>
      </x:c>
      <x:c r="G131" s="22" t="str">
        <x:v>kg</x:v>
      </x:c>
      <x:c r="H131" s="22" t="str">
        <x:v>H</x:v>
      </x:c>
      <x:c r="I131" s="22" t="str">
        <x:v>作物列仅预核算占位：净固定碳代理+养分元素目标+98%蒸腾冷凝回收；盐氮/钙可能过供，必须经营养配方优化替换。种源为初始生物资本，不是火星天然原料。</x:v>
      </x:c>
      <x:c r="J131" s="22" t="str">
        <x:v>https://ntrs.nasa.gov/citations/20040089951
https://www.esa.int/Enabling_Support/Space_Engineering_Technology/Melissa/Closed_Loop_Compartments</x:v>
      </x:c>
    </x:row>
    <x:row r="132" ht="40" customHeight="1">
      <x:c r="A132" s="22" t="str">
        <x:v>A07</x:v>
      </x:c>
      <x:c r="B132" s="22" t="str">
        <x:v>小麦可食干物质</x:v>
      </x:c>
      <x:c r="C132" s="22" t="str">
        <x:v>A05</x:v>
      </x:c>
      <x:c r="D132" s="30" t="n">
        <x:v>0.06760364808338477</x:v>
      </x:c>
      <x:c r="E132" s="30" t="n">
        <x:v>1</x:v>
      </x:c>
      <x:c r="F132" s="31" t="n">
        <x:f>D132/E132</x:f>
        <x:v>0.06760364808338477</x:v>
      </x:c>
      <x:c r="G132" s="22" t="str">
        <x:v>kg</x:v>
      </x:c>
      <x:c r="H132" s="22" t="str">
        <x:v>H</x:v>
      </x:c>
      <x:c r="I132" s="22" t="str">
        <x:v>作物列仅预核算占位：净固定碳代理+养分元素目标+98%蒸腾冷凝回收；盐氮/钙可能过供，必须经营养配方优化替换。种源为初始生物资本，不是火星天然原料。</x:v>
      </x:c>
      <x:c r="J132" s="22" t="str">
        <x:v>https://ntrs.nasa.gov/citations/20040089951
https://www.esa.int/Enabling_Support/Space_Engineering_Technology/Melissa/Closed_Loop_Compartments</x:v>
      </x:c>
    </x:row>
    <x:row r="133" ht="40" customHeight="1">
      <x:c r="A133" s="22" t="str">
        <x:v>A07</x:v>
      </x:c>
      <x:c r="B133" s="22" t="str">
        <x:v>小麦可食干物质</x:v>
      </x:c>
      <x:c r="C133" s="22" t="str">
        <x:v>X05</x:v>
      </x:c>
      <x:c r="D133" s="30" t="n">
        <x:v>0.0022222222222222222</x:v>
      </x:c>
      <x:c r="E133" s="30" t="n">
        <x:v>1</x:v>
      </x:c>
      <x:c r="F133" s="31" t="n">
        <x:f>D133/E133</x:f>
        <x:v>0.0022222222222222222</x:v>
      </x:c>
      <x:c r="G133" s="22" t="str">
        <x:v>kg</x:v>
      </x:c>
      <x:c r="H133" s="22" t="str">
        <x:v>H</x:v>
      </x:c>
      <x:c r="I133" s="22" t="str">
        <x:v>作物列仅预核算占位：净固定碳代理+养分元素目标+98%蒸腾冷凝回收；盐氮/钙可能过供，必须经营养配方优化替换。种源为初始生物资本，不是火星天然原料。</x:v>
      </x:c>
      <x:c r="J133" s="22" t="str">
        <x:v>https://ntrs.nasa.gov/citations/20040089951
https://www.esa.int/Enabling_Support/Space_Engineering_Technology/Melissa/Closed_Loop_Compartments</x:v>
      </x:c>
    </x:row>
    <x:row r="134" ht="40" customHeight="1">
      <x:c r="A134" s="22" t="str">
        <x:v>A08</x:v>
      </x:c>
      <x:c r="B134" s="22" t="str">
        <x:v>大豆可食干物质</x:v>
      </x:c>
      <x:c r="C134" s="22" t="str">
        <x:v>R02</x:v>
      </x:c>
      <x:c r="D134" s="30" t="n">
        <x:v>4.39686953625843</x:v>
      </x:c>
      <x:c r="E134" s="30" t="n">
        <x:v>1</x:v>
      </x:c>
      <x:c r="F134" s="31" t="n">
        <x:f>D134/E134</x:f>
        <x:v>4.39686953625843</x:v>
      </x:c>
      <x:c r="G134" s="22" t="str">
        <x:v>kg有效组分当量</x:v>
      </x:c>
      <x:c r="H134" s="22" t="str">
        <x:v>H</x:v>
      </x:c>
      <x:c r="I134" s="22" t="str">
        <x:v>作物列仅预核算占位：净固定碳代理+养分元素目标+98%蒸腾冷凝回收；盐氮/钙可能过供，必须经营养配方优化替换。种源为初始生物资本，不是火星天然原料。</x:v>
      </x:c>
      <x:c r="J134" s="22" t="str">
        <x:v>https://ntrs.nasa.gov/citations/20040089951
https://www.esa.int/Enabling_Support/Space_Engineering_Technology/Melissa/Closed_Loop_Compartments</x:v>
      </x:c>
    </x:row>
    <x:row r="135" ht="40" customHeight="1">
      <x:c r="A135" s="22" t="str">
        <x:v>A08</x:v>
      </x:c>
      <x:c r="B135" s="22" t="str">
        <x:v>大豆可食干物质</x:v>
      </x:c>
      <x:c r="C135" s="22" t="str">
        <x:v>M_W</x:v>
      </x:c>
      <x:c r="D135" s="30" t="n">
        <x:v>11.49678199404762</x:v>
      </x:c>
      <x:c r="E135" s="30" t="n">
        <x:v>1</x:v>
      </x:c>
      <x:c r="F135" s="31" t="n">
        <x:f>D135/E135</x:f>
        <x:v>11.49678199404762</x:v>
      </x:c>
      <x:c r="G135" s="22" t="str">
        <x:v>kg</x:v>
      </x:c>
      <x:c r="H135" s="22" t="str">
        <x:v>H</x:v>
      </x:c>
      <x:c r="I135" s="22" t="str">
        <x:v>作物列仅预核算占位：净固定碳代理+养分元素目标+98%蒸腾冷凝回收；盐氮/钙可能过供，必须经营养配方优化替换。种源为初始生物资本，不是火星天然原料。</x:v>
      </x:c>
      <x:c r="J135" s="22" t="str">
        <x:v>https://ntrs.nasa.gov/citations/20040089951
https://www.esa.int/Enabling_Support/Space_Engineering_Technology/Melissa/Closed_Loop_Compartments</x:v>
      </x:c>
    </x:row>
    <x:row r="136" ht="40" customHeight="1">
      <x:c r="A136" s="22" t="str">
        <x:v>A08</x:v>
      </x:c>
      <x:c r="B136" s="22" t="str">
        <x:v>大豆可食干物质</x:v>
      </x:c>
      <x:c r="C136" s="22" t="str">
        <x:v>A02</x:v>
      </x:c>
      <x:c r="D136" s="30" t="n">
        <x:v>0.7656452268566343</x:v>
      </x:c>
      <x:c r="E136" s="30" t="n">
        <x:v>1</x:v>
      </x:c>
      <x:c r="F136" s="31" t="n">
        <x:f>D136/E136</x:f>
        <x:v>0.7656452268566343</x:v>
      </x:c>
      <x:c r="G136" s="22" t="str">
        <x:v>kg</x:v>
      </x:c>
      <x:c r="H136" s="22" t="str">
        <x:v>H</x:v>
      </x:c>
      <x:c r="I136" s="22" t="str">
        <x:v>作物列仅预核算占位：净固定碳代理+养分元素目标+98%蒸腾冷凝回收；盐氮/钙可能过供，必须经营养配方优化替换。种源为初始生物资本，不是火星天然原料。</x:v>
      </x:c>
      <x:c r="J136" s="22" t="str">
        <x:v>https://ntrs.nasa.gov/citations/20040089951
https://www.esa.int/Enabling_Support/Space_Engineering_Technology/Melissa/Closed_Loop_Compartments</x:v>
      </x:c>
    </x:row>
    <x:row r="137" ht="40" customHeight="1">
      <x:c r="A137" s="22" t="str">
        <x:v>A08</x:v>
      </x:c>
      <x:c r="B137" s="22" t="str">
        <x:v>大豆可食干物质</x:v>
      </x:c>
      <x:c r="C137" s="22" t="str">
        <x:v>A03</x:v>
      </x:c>
      <x:c r="D137" s="30" t="n">
        <x:v>0.05570397752954091</x:v>
      </x:c>
      <x:c r="E137" s="30" t="n">
        <x:v>1</x:v>
      </x:c>
      <x:c r="F137" s="31" t="n">
        <x:f>D137/E137</x:f>
        <x:v>0.05570397752954091</x:v>
      </x:c>
      <x:c r="G137" s="22" t="str">
        <x:v>kg</x:v>
      </x:c>
      <x:c r="H137" s="22" t="str">
        <x:v>H</x:v>
      </x:c>
      <x:c r="I137" s="22" t="str">
        <x:v>作物列仅预核算占位：净固定碳代理+养分元素目标+98%蒸腾冷凝回收；盐氮/钙可能过供，必须经营养配方优化替换。种源为初始生物资本，不是火星天然原料。</x:v>
      </x:c>
      <x:c r="J137" s="22" t="str">
        <x:v>https://ntrs.nasa.gov/citations/20040089951
https://www.esa.int/Enabling_Support/Space_Engineering_Technology/Melissa/Closed_Loop_Compartments</x:v>
      </x:c>
    </x:row>
    <x:row r="138" ht="40" customHeight="1">
      <x:c r="A138" s="22" t="str">
        <x:v>A08</x:v>
      </x:c>
      <x:c r="B138" s="22" t="str">
        <x:v>大豆可食干物质</x:v>
      </x:c>
      <x:c r="C138" s="22" t="str">
        <x:v>A04</x:v>
      </x:c>
      <x:c r="D138" s="30" t="n">
        <x:v>0.1559880300782649</x:v>
      </x:c>
      <x:c r="E138" s="30" t="n">
        <x:v>1</x:v>
      </x:c>
      <x:c r="F138" s="31" t="n">
        <x:f>D138/E138</x:f>
        <x:v>0.1559880300782649</x:v>
      </x:c>
      <x:c r="G138" s="22" t="str">
        <x:v>kg</x:v>
      </x:c>
      <x:c r="H138" s="22" t="str">
        <x:v>H</x:v>
      </x:c>
      <x:c r="I138" s="22" t="str">
        <x:v>作物列仅预核算占位：净固定碳代理+养分元素目标+98%蒸腾冷凝回收；盐氮/钙可能过供，必须经营养配方优化替换。种源为初始生物资本，不是火星天然原料。</x:v>
      </x:c>
      <x:c r="J138" s="22" t="str">
        <x:v>https://ntrs.nasa.gov/citations/20040089951
https://www.esa.int/Enabling_Support/Space_Engineering_Technology/Melissa/Closed_Loop_Compartments</x:v>
      </x:c>
    </x:row>
    <x:row r="139" ht="40" customHeight="1">
      <x:c r="A139" s="22" t="str">
        <x:v>A08</x:v>
      </x:c>
      <x:c r="B139" s="22" t="str">
        <x:v>大豆可食干物质</x:v>
      </x:c>
      <x:c r="C139" s="22" t="str">
        <x:v>A05</x:v>
      </x:c>
      <x:c r="D139" s="30" t="n">
        <x:v>0.10140547212507714</x:v>
      </x:c>
      <x:c r="E139" s="30" t="n">
        <x:v>1</x:v>
      </x:c>
      <x:c r="F139" s="31" t="n">
        <x:f>D139/E139</x:f>
        <x:v>0.10140547212507714</x:v>
      </x:c>
      <x:c r="G139" s="22" t="str">
        <x:v>kg</x:v>
      </x:c>
      <x:c r="H139" s="22" t="str">
        <x:v>H</x:v>
      </x:c>
      <x:c r="I139" s="22" t="str">
        <x:v>作物列仅预核算占位：净固定碳代理+养分元素目标+98%蒸腾冷凝回收；盐氮/钙可能过供，必须经营养配方优化替换。种源为初始生物资本，不是火星天然原料。</x:v>
      </x:c>
      <x:c r="J139" s="22" t="str">
        <x:v>https://ntrs.nasa.gov/citations/20040089951
https://www.esa.int/Enabling_Support/Space_Engineering_Technology/Melissa/Closed_Loop_Compartments</x:v>
      </x:c>
    </x:row>
    <x:row r="140" ht="40" customHeight="1">
      <x:c r="A140" s="22" t="str">
        <x:v>A08</x:v>
      </x:c>
      <x:c r="B140" s="22" t="str">
        <x:v>大豆可食干物质</x:v>
      </x:c>
      <x:c r="C140" s="22" t="str">
        <x:v>X05</x:v>
      </x:c>
      <x:c r="D140" s="30" t="n">
        <x:v>0.0025</x:v>
      </x:c>
      <x:c r="E140" s="30" t="n">
        <x:v>1</x:v>
      </x:c>
      <x:c r="F140" s="31" t="n">
        <x:f>D140/E140</x:f>
        <x:v>0.0025</x:v>
      </x:c>
      <x:c r="G140" s="22" t="str">
        <x:v>kg</x:v>
      </x:c>
      <x:c r="H140" s="22" t="str">
        <x:v>H</x:v>
      </x:c>
      <x:c r="I140" s="22" t="str">
        <x:v>作物列仅预核算占位：净固定碳代理+养分元素目标+98%蒸腾冷凝回收；盐氮/钙可能过供，必须经营养配方优化替换。种源为初始生物资本，不是火星天然原料。</x:v>
      </x:c>
      <x:c r="J140" s="22" t="str">
        <x:v>https://ntrs.nasa.gov/citations/20040089951
https://www.esa.int/Enabling_Support/Space_Engineering_Technology/Melissa/Closed_Loop_Compartments</x:v>
      </x:c>
    </x:row>
    <x:row r="141" ht="40" customHeight="1">
      <x:c r="A141" s="22" t="str">
        <x:v>A09</x:v>
      </x:c>
      <x:c r="B141" s="22" t="str">
        <x:v>马铃薯可食干物质</x:v>
      </x:c>
      <x:c r="C141" s="22" t="str">
        <x:v>R02</x:v>
      </x:c>
      <x:c r="D141" s="30" t="n">
        <x:v>2.149580662170788</x:v>
      </x:c>
      <x:c r="E141" s="30" t="n">
        <x:v>1</x:v>
      </x:c>
      <x:c r="F141" s="31" t="n">
        <x:f>D141/E141</x:f>
        <x:v>2.149580662170788</x:v>
      </x:c>
      <x:c r="G141" s="22" t="str">
        <x:v>kg有效组分当量</x:v>
      </x:c>
      <x:c r="H141" s="22" t="str">
        <x:v>H</x:v>
      </x:c>
      <x:c r="I141" s="22" t="str">
        <x:v>作物列仅预核算占位：净固定碳代理+养分元素目标+98%蒸腾冷凝回收；盐氮/钙可能过供，必须经营养配方优化替换。种源为初始生物资本，不是火星天然原料。</x:v>
      </x:c>
      <x:c r="J141" s="22" t="str">
        <x:v>https://ntrs.nasa.gov/citations/20040089951
https://www.esa.int/Enabling_Support/Space_Engineering_Technology/Melissa/Closed_Loop_Compartments</x:v>
      </x:c>
    </x:row>
    <x:row r="142" ht="40" customHeight="1">
      <x:c r="A142" s="22" t="str">
        <x:v>A09</x:v>
      </x:c>
      <x:c r="B142" s="22" t="str">
        <x:v>马铃薯可食干物质</x:v>
      </x:c>
      <x:c r="C142" s="22" t="str">
        <x:v>M_W</x:v>
      </x:c>
      <x:c r="D142" s="30" t="n">
        <x:v>6.1077876984126975</x:v>
      </x:c>
      <x:c r="E142" s="30" t="n">
        <x:v>1</x:v>
      </x:c>
      <x:c r="F142" s="31" t="n">
        <x:f>D142/E142</x:f>
        <x:v>6.1077876984126975</x:v>
      </x:c>
      <x:c r="G142" s="22" t="str">
        <x:v>kg</x:v>
      </x:c>
      <x:c r="H142" s="22" t="str">
        <x:v>H</x:v>
      </x:c>
      <x:c r="I142" s="22" t="str">
        <x:v>作物列仅预核算占位：净固定碳代理+养分元素目标+98%蒸腾冷凝回收；盐氮/钙可能过供，必须经营养配方优化替换。种源为初始生物资本，不是火星天然原料。</x:v>
      </x:c>
      <x:c r="J142" s="22" t="str">
        <x:v>https://ntrs.nasa.gov/citations/20040089951
https://www.esa.int/Enabling_Support/Space_Engineering_Technology/Melissa/Closed_Loop_Compartments</x:v>
      </x:c>
    </x:row>
    <x:row r="143" ht="40" customHeight="1">
      <x:c r="A143" s="22" t="str">
        <x:v>A09</x:v>
      </x:c>
      <x:c r="B143" s="22" t="str">
        <x:v>马铃薯可食干物质</x:v>
      </x:c>
      <x:c r="C143" s="22" t="str">
        <x:v>A02</x:v>
      </x:c>
      <x:c r="D143" s="30" t="n">
        <x:v>0.1420675108180735</x:v>
      </x:c>
      <x:c r="E143" s="30" t="n">
        <x:v>1</x:v>
      </x:c>
      <x:c r="F143" s="31" t="n">
        <x:f>D143/E143</x:f>
        <x:v>0.1420675108180735</x:v>
      </x:c>
      <x:c r="G143" s="22" t="str">
        <x:v>kg</x:v>
      </x:c>
      <x:c r="H143" s="22" t="str">
        <x:v>H</x:v>
      </x:c>
      <x:c r="I143" s="22" t="str">
        <x:v>作物列仅预核算占位：净固定碳代理+养分元素目标+98%蒸腾冷凝回收；盐氮/钙可能过供，必须经营养配方优化替换。种源为初始生物资本，不是火星天然原料。</x:v>
      </x:c>
      <x:c r="J143" s="22" t="str">
        <x:v>https://ntrs.nasa.gov/citations/20040089951
https://www.esa.int/Enabling_Support/Space_Engineering_Technology/Melissa/Closed_Loop_Compartments</x:v>
      </x:c>
    </x:row>
    <x:row r="144" ht="40" customHeight="1">
      <x:c r="A144" s="22" t="str">
        <x:v>A09</x:v>
      </x:c>
      <x:c r="B144" s="22" t="str">
        <x:v>马铃薯可食干物质</x:v>
      </x:c>
      <x:c r="C144" s="22" t="str">
        <x:v>A03</x:v>
      </x:c>
      <x:c r="D144" s="30" t="n">
        <x:v>0.0198058586771701</x:v>
      </x:c>
      <x:c r="E144" s="30" t="n">
        <x:v>1</x:v>
      </x:c>
      <x:c r="F144" s="31" t="n">
        <x:f>D144/E144</x:f>
        <x:v>0.0198058586771701</x:v>
      </x:c>
      <x:c r="G144" s="22" t="str">
        <x:v>kg</x:v>
      </x:c>
      <x:c r="H144" s="22" t="str">
        <x:v>H</x:v>
      </x:c>
      <x:c r="I144" s="22" t="str">
        <x:v>作物列仅预核算占位：净固定碳代理+养分元素目标+98%蒸腾冷凝回收；盐氮/钙可能过供，必须经营养配方优化替换。种源为初始生物资本，不是火星天然原料。</x:v>
      </x:c>
      <x:c r="J144" s="22" t="str">
        <x:v>https://ntrs.nasa.gov/citations/20040089951
https://www.esa.int/Enabling_Support/Space_Engineering_Technology/Melissa/Closed_Loop_Compartments</x:v>
      </x:c>
    </x:row>
    <x:row r="145" ht="40" customHeight="1">
      <x:c r="A145" s="22" t="str">
        <x:v>A09</x:v>
      </x:c>
      <x:c r="B145" s="22" t="str">
        <x:v>马铃薯可食干物质</x:v>
      </x:c>
      <x:c r="C145" s="22" t="str">
        <x:v>A04</x:v>
      </x:c>
      <x:c r="D145" s="30" t="n">
        <x:v>0.08913601718757992</x:v>
      </x:c>
      <x:c r="E145" s="30" t="n">
        <x:v>1</x:v>
      </x:c>
      <x:c r="F145" s="31" t="n">
        <x:f>D145/E145</x:f>
        <x:v>0.08913601718757992</x:v>
      </x:c>
      <x:c r="G145" s="22" t="str">
        <x:v>kg</x:v>
      </x:c>
      <x:c r="H145" s="22" t="str">
        <x:v>H</x:v>
      </x:c>
      <x:c r="I145" s="22" t="str">
        <x:v>作物列仅预核算占位：净固定碳代理+养分元素目标+98%蒸腾冷凝回收；盐氮/钙可能过供，必须经营养配方优化替换。种源为初始生物资本，不是火星天然原料。</x:v>
      </x:c>
      <x:c r="J145" s="22" t="str">
        <x:v>https://ntrs.nasa.gov/citations/20040089951
https://www.esa.int/Enabling_Support/Space_Engineering_Technology/Melissa/Closed_Loop_Compartments</x:v>
      </x:c>
    </x:row>
    <x:row r="146" ht="40" customHeight="1">
      <x:c r="A146" s="22" t="str">
        <x:v>A09</x:v>
      </x:c>
      <x:c r="B146" s="22" t="str">
        <x:v>马铃薯可食干物质</x:v>
      </x:c>
      <x:c r="C146" s="22" t="str">
        <x:v>A05</x:v>
      </x:c>
      <x:c r="D146" s="30" t="n">
        <x:v>0.04056218885003086</x:v>
      </x:c>
      <x:c r="E146" s="30" t="n">
        <x:v>1</x:v>
      </x:c>
      <x:c r="F146" s="31" t="n">
        <x:f>D146/E146</x:f>
        <x:v>0.04056218885003086</x:v>
      </x:c>
      <x:c r="G146" s="22" t="str">
        <x:v>kg</x:v>
      </x:c>
      <x:c r="H146" s="22" t="str">
        <x:v>H</x:v>
      </x:c>
      <x:c r="I146" s="22" t="str">
        <x:v>作物列仅预核算占位：净固定碳代理+养分元素目标+98%蒸腾冷凝回收；盐氮/钙可能过供，必须经营养配方优化替换。种源为初始生物资本，不是火星天然原料。</x:v>
      </x:c>
      <x:c r="J146" s="22" t="str">
        <x:v>https://ntrs.nasa.gov/citations/20040089951
https://www.esa.int/Enabling_Support/Space_Engineering_Technology/Melissa/Closed_Loop_Compartments</x:v>
      </x:c>
    </x:row>
    <x:row r="147" ht="40" customHeight="1">
      <x:c r="A147" s="22" t="str">
        <x:v>A09</x:v>
      </x:c>
      <x:c r="B147" s="22" t="str">
        <x:v>马铃薯可食干物质</x:v>
      </x:c>
      <x:c r="C147" s="22" t="str">
        <x:v>X05</x:v>
      </x:c>
      <x:c r="D147" s="30" t="n">
        <x:v>0.0013333333333333333</x:v>
      </x:c>
      <x:c r="E147" s="30" t="n">
        <x:v>1</x:v>
      </x:c>
      <x:c r="F147" s="31" t="n">
        <x:f>D147/E147</x:f>
        <x:v>0.0013333333333333333</x:v>
      </x:c>
      <x:c r="G147" s="22" t="str">
        <x:v>kg</x:v>
      </x:c>
      <x:c r="H147" s="22" t="str">
        <x:v>H</x:v>
      </x:c>
      <x:c r="I147" s="22" t="str">
        <x:v>作物列仅预核算占位：净固定碳代理+养分元素目标+98%蒸腾冷凝回收；盐氮/钙可能过供，必须经营养配方优化替换。种源为初始生物资本，不是火星天然原料。</x:v>
      </x:c>
      <x:c r="J147" s="22" t="str">
        <x:v>https://ntrs.nasa.gov/citations/20040089951
https://www.esa.int/Enabling_Support/Space_Engineering_Technology/Melissa/Closed_Loop_Compartments</x:v>
      </x:c>
    </x:row>
    <x:row r="148" ht="40" customHeight="1">
      <x:c r="A148" s="22" t="str">
        <x:v>A10</x:v>
      </x:c>
      <x:c r="B148" s="22" t="str">
        <x:v>叶菜可食干物质</x:v>
      </x:c>
      <x:c r="C148" s="22" t="str">
        <x:v>R02</x:v>
      </x:c>
      <x:c r="D148" s="30" t="n">
        <x:v>1.7242625632386002</x:v>
      </x:c>
      <x:c r="E148" s="30" t="n">
        <x:v>1</x:v>
      </x:c>
      <x:c r="F148" s="31" t="n">
        <x:f>D148/E148</x:f>
        <x:v>1.7242625632386002</x:v>
      </x:c>
      <x:c r="G148" s="22" t="str">
        <x:v>kg有效组分当量</x:v>
      </x:c>
      <x:c r="H148" s="22" t="str">
        <x:v>H</x:v>
      </x:c>
      <x:c r="I148" s="22" t="str">
        <x:v>作物列仅预核算占位：净固定碳代理+养分元素目标+98%蒸腾冷凝回收；盐氮/钙可能过供，必须经营养配方优化替换。种源为初始生物资本，不是火星天然原料。</x:v>
      </x:c>
      <x:c r="J148" s="22" t="str">
        <x:v>https://ntrs.nasa.gov/citations/20040089951
https://www.esa.int/Enabling_Support/Space_Engineering_Technology/Melissa/Closed_Loop_Compartments</x:v>
      </x:c>
    </x:row>
    <x:row r="149" ht="40" customHeight="1">
      <x:c r="A149" s="22" t="str">
        <x:v>A10</x:v>
      </x:c>
      <x:c r="B149" s="22" t="str">
        <x:v>叶菜可食干物质</x:v>
      </x:c>
      <x:c r="C149" s="22" t="str">
        <x:v>M_W</x:v>
      </x:c>
      <x:c r="D149" s="30" t="n">
        <x:v>5.336659663865546</x:v>
      </x:c>
      <x:c r="E149" s="30" t="n">
        <x:v>1</x:v>
      </x:c>
      <x:c r="F149" s="31" t="n">
        <x:f>D149/E149</x:f>
        <x:v>5.336659663865546</x:v>
      </x:c>
      <x:c r="G149" s="22" t="str">
        <x:v>kg</x:v>
      </x:c>
      <x:c r="H149" s="22" t="str">
        <x:v>H</x:v>
      </x:c>
      <x:c r="I149" s="22" t="str">
        <x:v>作物列仅预核算占位：净固定碳代理+养分元素目标+98%蒸腾冷凝回收；盐氮/钙可能过供，必须经营养配方优化替换。种源为初始生物资本，不是火星天然原料。</x:v>
      </x:c>
      <x:c r="J149" s="22" t="str">
        <x:v>https://ntrs.nasa.gov/citations/20040089951
https://www.esa.int/Enabling_Support/Space_Engineering_Technology/Melissa/Closed_Loop_Compartments</x:v>
      </x:c>
    </x:row>
    <x:row r="150" ht="40" customHeight="1">
      <x:c r="A150" s="22" t="str">
        <x:v>A10</x:v>
      </x:c>
      <x:c r="B150" s="22" t="str">
        <x:v>叶菜可食干物质</x:v>
      </x:c>
      <x:c r="C150" s="22" t="str">
        <x:v>A02</x:v>
      </x:c>
      <x:c r="D150" s="30" t="n">
        <x:v>0.22560135037749687</x:v>
      </x:c>
      <x:c r="E150" s="30" t="n">
        <x:v>1</x:v>
      </x:c>
      <x:c r="F150" s="31" t="n">
        <x:f>D150/E150</x:f>
        <x:v>0.22560135037749687</x:v>
      </x:c>
      <x:c r="G150" s="22" t="str">
        <x:v>kg</x:v>
      </x:c>
      <x:c r="H150" s="22" t="str">
        <x:v>H</x:v>
      </x:c>
      <x:c r="I150" s="22" t="str">
        <x:v>作物列仅预核算占位：净固定碳代理+养分元素目标+98%蒸腾冷凝回收；盐氮/钙可能过供，必须经营养配方优化替换。种源为初始生物资本，不是火星天然原料。</x:v>
      </x:c>
      <x:c r="J150" s="22" t="str">
        <x:v>https://ntrs.nasa.gov/citations/20040089951
https://www.esa.int/Enabling_Support/Space_Engineering_Technology/Melissa/Closed_Loop_Compartments</x:v>
      </x:c>
    </x:row>
    <x:row r="151" ht="40" customHeight="1">
      <x:c r="A151" s="22" t="str">
        <x:v>A10</x:v>
      </x:c>
      <x:c r="B151" s="22" t="str">
        <x:v>叶菜可食干物质</x:v>
      </x:c>
      <x:c r="C151" s="22" t="str">
        <x:v>A03</x:v>
      </x:c>
      <x:c r="D151" s="30" t="n">
        <x:v>0.021844697070408203</x:v>
      </x:c>
      <x:c r="E151" s="30" t="n">
        <x:v>1</x:v>
      </x:c>
      <x:c r="F151" s="31" t="n">
        <x:f>D151/E151</x:f>
        <x:v>0.021844697070408203</x:v>
      </x:c>
      <x:c r="G151" s="22" t="str">
        <x:v>kg</x:v>
      </x:c>
      <x:c r="H151" s="22" t="str">
        <x:v>H</x:v>
      </x:c>
      <x:c r="I151" s="22" t="str">
        <x:v>作物列仅预核算占位：净固定碳代理+养分元素目标+98%蒸腾冷凝回收；盐氮/钙可能过供，必须经营养配方优化替换。种源为初始生物资本，不是火星天然原料。</x:v>
      </x:c>
      <x:c r="J151" s="22" t="str">
        <x:v>https://ntrs.nasa.gov/citations/20040089951
https://www.esa.int/Enabling_Support/Space_Engineering_Technology/Melissa/Closed_Loop_Compartments</x:v>
      </x:c>
    </x:row>
    <x:row r="152" ht="40" customHeight="1">
      <x:c r="A152" s="22" t="str">
        <x:v>A10</x:v>
      </x:c>
      <x:c r="B152" s="22" t="str">
        <x:v>叶菜可食干物质</x:v>
      </x:c>
      <x:c r="C152" s="22" t="str">
        <x:v>A04</x:v>
      </x:c>
      <x:c r="D152" s="30" t="n">
        <x:v>0.13108237821702934</x:v>
      </x:c>
      <x:c r="E152" s="30" t="n">
        <x:v>1</x:v>
      </x:c>
      <x:c r="F152" s="31" t="n">
        <x:f>D152/E152</x:f>
        <x:v>0.13108237821702934</x:v>
      </x:c>
      <x:c r="G152" s="22" t="str">
        <x:v>kg</x:v>
      </x:c>
      <x:c r="H152" s="22" t="str">
        <x:v>H</x:v>
      </x:c>
      <x:c r="I152" s="22" t="str">
        <x:v>作物列仅预核算占位：净固定碳代理+养分元素目标+98%蒸腾冷凝回收；盐氮/钙可能过供，必须经营养配方优化替换。种源为初始生物资本，不是火星天然原料。</x:v>
      </x:c>
      <x:c r="J152" s="22" t="str">
        <x:v>https://ntrs.nasa.gov/citations/20040089951
https://www.esa.int/Enabling_Support/Space_Engineering_Technology/Melissa/Closed_Loop_Compartments</x:v>
      </x:c>
    </x:row>
    <x:row r="153" ht="40" customHeight="1">
      <x:c r="A153" s="22" t="str">
        <x:v>A10</x:v>
      </x:c>
      <x:c r="B153" s="22" t="str">
        <x:v>叶菜可食干物质</x:v>
      </x:c>
      <x:c r="C153" s="22" t="str">
        <x:v>A05</x:v>
      </x:c>
      <x:c r="D153" s="30" t="n">
        <x:v>0.059650277720633624</x:v>
      </x:c>
      <x:c r="E153" s="30" t="n">
        <x:v>1</x:v>
      </x:c>
      <x:c r="F153" s="31" t="n">
        <x:f>D153/E153</x:f>
        <x:v>0.059650277720633624</x:v>
      </x:c>
      <x:c r="G153" s="22" t="str">
        <x:v>kg</x:v>
      </x:c>
      <x:c r="H153" s="22" t="str">
        <x:v>H</x:v>
      </x:c>
      <x:c r="I153" s="22" t="str">
        <x:v>作物列仅预核算占位：净固定碳代理+养分元素目标+98%蒸腾冷凝回收；盐氮/钙可能过供，必须经营养配方优化替换。种源为初始生物资本，不是火星天然原料。</x:v>
      </x:c>
      <x:c r="J153" s="22" t="str">
        <x:v>https://ntrs.nasa.gov/citations/20040089951
https://www.esa.int/Enabling_Support/Space_Engineering_Technology/Melissa/Closed_Loop_Compartments</x:v>
      </x:c>
    </x:row>
    <x:row r="154" ht="40" customHeight="1">
      <x:c r="A154" s="22" t="str">
        <x:v>A10</x:v>
      </x:c>
      <x:c r="B154" s="22" t="str">
        <x:v>叶菜可食干物质</x:v>
      </x:c>
      <x:c r="C154" s="22" t="str">
        <x:v>X05</x:v>
      </x:c>
      <x:c r="D154" s="30" t="n">
        <x:v>0.0011764705882352942</x:v>
      </x:c>
      <x:c r="E154" s="30" t="n">
        <x:v>1</x:v>
      </x:c>
      <x:c r="F154" s="31" t="n">
        <x:f>D154/E154</x:f>
        <x:v>0.0011764705882352942</x:v>
      </x:c>
      <x:c r="G154" s="22" t="str">
        <x:v>kg</x:v>
      </x:c>
      <x:c r="H154" s="22" t="str">
        <x:v>H</x:v>
      </x:c>
      <x:c r="I154" s="22" t="str">
        <x:v>作物列仅预核算占位：净固定碳代理+养分元素目标+98%蒸腾冷凝回收；盐氮/钙可能过供，必须经营养配方优化替换。种源为初始生物资本，不是火星天然原料。</x:v>
      </x:c>
      <x:c r="J154" s="22" t="str">
        <x:v>https://ntrs.nasa.gov/citations/20040089951
https://www.esa.int/Enabling_Support/Space_Engineering_Technology/Melissa/Closed_Loop_Compartments</x:v>
      </x:c>
    </x:row>
    <x:row r="155" ht="40" customHeight="1">
      <x:c r="A155" s="22" t="str">
        <x:v>A11</x:v>
      </x:c>
      <x:c r="B155" s="22" t="str">
        <x:v>循环水培栽培模块</x:v>
      </x:c>
      <x:c r="C155" s="22" t="str">
        <x:v>M_ST</x:v>
      </x:c>
      <x:c r="D155" s="30" t="n">
        <x:v>5</x:v>
      </x:c>
      <x:c r="E155" s="30" t="n">
        <x:v>1</x:v>
      </x:c>
      <x:c r="F155" s="31" t="n">
        <x:f>D155/E155</x:f>
        <x:v>5</x:v>
      </x:c>
      <x:c r="G155" s="22" t="str">
        <x:v>kg</x:v>
      </x:c>
      <x:c r="H155" s="22" t="str">
        <x:v>H</x:v>
      </x:c>
      <x:c r="I155" s="22" t="str">
        <x:v>种子、苗木、微生物由地球引入或本地繁育；不可从矿物直接生成。</x:v>
      </x:c>
      <x:c r="J155" s="22" t="str">
        <x:v>https://www.esa.int/Enabling_Support/Space_Engineering_Technology/Melissa/Closed_Loop_Compartments</x:v>
      </x:c>
    </x:row>
    <x:row r="156" ht="40" customHeight="1">
      <x:c r="A156" s="22" t="str">
        <x:v>A11</x:v>
      </x:c>
      <x:c r="B156" s="22" t="str">
        <x:v>循环水培栽培模块</x:v>
      </x:c>
      <x:c r="C156" s="22" t="str">
        <x:v>M_PE</x:v>
      </x:c>
      <x:c r="D156" s="30" t="n">
        <x:v>3</x:v>
      </x:c>
      <x:c r="E156" s="30" t="n">
        <x:v>1</x:v>
      </x:c>
      <x:c r="F156" s="31" t="n">
        <x:f>D156/E156</x:f>
        <x:v>3</x:v>
      </x:c>
      <x:c r="G156" s="22" t="str">
        <x:v>kg</x:v>
      </x:c>
      <x:c r="H156" s="22" t="str">
        <x:v>H</x:v>
      </x:c>
      <x:c r="I156" s="22" t="str">
        <x:v>种子、苗木、微生物由地球引入或本地繁育；不可从矿物直接生成。</x:v>
      </x:c>
      <x:c r="J156" s="22" t="str">
        <x:v>https://www.esa.int/Enabling_Support/Space_Engineering_Technology/Melissa/Closed_Loop_Compartments</x:v>
      </x:c>
    </x:row>
    <x:row r="157" ht="40" customHeight="1">
      <x:c r="A157" s="22" t="str">
        <x:v>A11</x:v>
      </x:c>
      <x:c r="B157" s="22" t="str">
        <x:v>循环水培栽培模块</x:v>
      </x:c>
      <x:c r="C157" s="22" t="str">
        <x:v>M_FIB</x:v>
      </x:c>
      <x:c r="D157" s="30" t="n">
        <x:v>1</x:v>
      </x:c>
      <x:c r="E157" s="30" t="n">
        <x:v>1</x:v>
      </x:c>
      <x:c r="F157" s="31" t="n">
        <x:f>D157/E157</x:f>
        <x:v>1</x:v>
      </x:c>
      <x:c r="G157" s="22" t="str">
        <x:v>kg</x:v>
      </x:c>
      <x:c r="H157" s="22" t="str">
        <x:v>H</x:v>
      </x:c>
      <x:c r="I157" s="22" t="str">
        <x:v>种子、苗木、微生物由地球引入或本地繁育；不可从矿物直接生成。</x:v>
      </x:c>
      <x:c r="J157" s="22" t="str">
        <x:v>https://www.esa.int/Enabling_Support/Space_Engineering_Technology/Melissa/Closed_Loop_Compartments</x:v>
      </x:c>
    </x:row>
    <x:row r="158" ht="40" customHeight="1">
      <x:c r="A158" s="22" t="str">
        <x:v>A11</x:v>
      </x:c>
      <x:c r="B158" s="22" t="str">
        <x:v>循环水培栽培模块</x:v>
      </x:c>
      <x:c r="C158" s="22" t="str">
        <x:v>I11</x:v>
      </x:c>
      <x:c r="D158" s="30" t="n">
        <x:v>0.05</x:v>
      </x:c>
      <x:c r="E158" s="30" t="n">
        <x:v>1</x:v>
      </x:c>
      <x:c r="F158" s="31" t="n">
        <x:f>D158/E158</x:f>
        <x:v>0.05</x:v>
      </x:c>
      <x:c r="G158" s="22" t="str">
        <x:v>套（名义1kW）</x:v>
      </x:c>
      <x:c r="H158" s="22" t="str">
        <x:v>H</x:v>
      </x:c>
      <x:c r="I158" s="22" t="str">
        <x:v>种子、苗木、微生物由地球引入或本地繁育；不可从矿物直接生成。</x:v>
      </x:c>
      <x:c r="J158" s="22" t="str">
        <x:v>https://www.esa.int/Enabling_Support/Space_Engineering_Technology/Melissa/Closed_Loop_Compartments</x:v>
      </x:c>
    </x:row>
    <x:row r="159" ht="40" customHeight="1">
      <x:c r="A159" s="22" t="str">
        <x:v>A11</x:v>
      </x:c>
      <x:c r="B159" s="22" t="str">
        <x:v>循环水培栽培模块</x:v>
      </x:c>
      <x:c r="C159" s="22" t="str">
        <x:v>X01</x:v>
      </x:c>
      <x:c r="D159" s="30" t="n">
        <x:v>0.1</x:v>
      </x:c>
      <x:c r="E159" s="30" t="n">
        <x:v>1</x:v>
      </x:c>
      <x:c r="F159" s="31" t="n">
        <x:f>D159/E159</x:f>
        <x:v>0.1</x:v>
      </x:c>
      <x:c r="G159" s="22" t="str">
        <x:v>kg</x:v>
      </x:c>
      <x:c r="H159" s="22" t="str">
        <x:v>H</x:v>
      </x:c>
      <x:c r="I159" s="22" t="str">
        <x:v>种子、苗木、微生物由地球引入或本地繁育；不可从矿物直接生成。</x:v>
      </x:c>
      <x:c r="J159" s="22" t="str">
        <x:v>https://www.esa.int/Enabling_Support/Space_Engineering_Technology/Melissa/Closed_Loop_Compartments</x:v>
      </x:c>
    </x:row>
    <x:row r="160" ht="40" customHeight="1">
      <x:c r="A160" s="22" t="str">
        <x:v>M_CELL</x:v>
      </x:c>
      <x:c r="B160" s="22" t="str">
        <x:v>晶硅电池片组</x:v>
      </x:c>
      <x:c r="C160" s="22" t="str">
        <x:v>M_SIP</x:v>
      </x:c>
      <x:c r="D160" s="30" t="n">
        <x:v>0.5807076923076924</x:v>
      </x:c>
      <x:c r="E160" s="30" t="n">
        <x:v>1</x:v>
      </x:c>
      <x:c r="F160" s="31" t="n">
        <x:f>D160/E160</x:f>
        <x:v>0.5807076923076924</x:v>
      </x:c>
      <x:c r="G160" s="22" t="str">
        <x:v>kg</x:v>
      </x:c>
      <x:c r="H160" s="22" t="str">
        <x:v>H</x:v>
      </x:c>
      <x:c r="I160" s="22" t="str">
        <x:v>硅片180µm、有效覆盖率90%、切片收得率65%；掺杂/金属/辅料均情景值；不得视为可生产电池配方。</x:v>
      </x:c>
      <x:c r="J160" s="22" t="str">
        <x:v>https://www.energy.gov/cmei/systems/crystalline-silicon-photovoltaics-research
https://www.energy.gov/cmei/systems/solar-photovoltaic-manufacturing-basics</x:v>
      </x:c>
    </x:row>
    <x:row r="161" ht="40" customHeight="1">
      <x:c r="A161" s="22" t="str">
        <x:v>M_CELL</x:v>
      </x:c>
      <x:c r="B161" s="22" t="str">
        <x:v>晶硅电池片组</x:v>
      </x:c>
      <x:c r="C161" s="22" t="str">
        <x:v>M_AG</x:v>
      </x:c>
      <x:c r="D161" s="30" t="n">
        <x:v>0.008</x:v>
      </x:c>
      <x:c r="E161" s="30" t="n">
        <x:v>1</x:v>
      </x:c>
      <x:c r="F161" s="31" t="n">
        <x:f>D161/E161</x:f>
        <x:v>0.008</x:v>
      </x:c>
      <x:c r="G161" s="22" t="str">
        <x:v>kg</x:v>
      </x:c>
      <x:c r="H161" s="22" t="str">
        <x:v>H</x:v>
      </x:c>
      <x:c r="I161" s="22" t="str">
        <x:v>硅片180µm、有效覆盖率90%、切片收得率65%；掺杂/金属/辅料均情景值；不得视为可生产电池配方。</x:v>
      </x:c>
      <x:c r="J161" s="22" t="str">
        <x:v>https://www.energy.gov/cmei/systems/crystalline-silicon-photovoltaics-research
https://www.energy.gov/cmei/systems/solar-photovoltaic-manufacturing-basics</x:v>
      </x:c>
    </x:row>
    <x:row r="162" ht="40" customHeight="1">
      <x:c r="A162" s="22" t="str">
        <x:v>M_CELL</x:v>
      </x:c>
      <x:c r="B162" s="22" t="str">
        <x:v>晶硅电池片组</x:v>
      </x:c>
      <x:c r="C162" s="22" t="str">
        <x:v>M_AL</x:v>
      </x:c>
      <x:c r="D162" s="30" t="n">
        <x:v>0.02</x:v>
      </x:c>
      <x:c r="E162" s="30" t="n">
        <x:v>1</x:v>
      </x:c>
      <x:c r="F162" s="31" t="n">
        <x:f>D162/E162</x:f>
        <x:v>0.02</x:v>
      </x:c>
      <x:c r="G162" s="22" t="str">
        <x:v>kg</x:v>
      </x:c>
      <x:c r="H162" s="22" t="str">
        <x:v>H</x:v>
      </x:c>
      <x:c r="I162" s="22" t="str">
        <x:v>硅片180µm、有效覆盖率90%、切片收得率65%；掺杂/金属/辅料均情景值；不得视为可生产电池配方。</x:v>
      </x:c>
      <x:c r="J162" s="22" t="str">
        <x:v>https://www.energy.gov/cmei/systems/crystalline-silicon-photovoltaics-research
https://www.energy.gov/cmei/systems/solar-photovoltaic-manufacturing-basics</x:v>
      </x:c>
    </x:row>
    <x:row r="163" ht="40" customHeight="1">
      <x:c r="A163" s="22" t="str">
        <x:v>M_CELL</x:v>
      </x:c>
      <x:c r="B163" s="22" t="str">
        <x:v>晶硅电池片组</x:v>
      </x:c>
      <x:c r="C163" s="22" t="str">
        <x:v>R18</x:v>
      </x:c>
      <x:c r="D163" s="30" t="n">
        <x:v>0.00001</x:v>
      </x:c>
      <x:c r="E163" s="30" t="n">
        <x:v>1</x:v>
      </x:c>
      <x:c r="F163" s="31" t="n">
        <x:f>D163/E163</x:f>
        <x:v>0.00001</x:v>
      </x:c>
      <x:c r="G163" s="22" t="str">
        <x:v>kg有效组分当量</x:v>
      </x:c>
      <x:c r="H163" s="22" t="str">
        <x:v>H</x:v>
      </x:c>
      <x:c r="I163" s="22" t="str">
        <x:v>硅片180µm、有效覆盖率90%、切片收得率65%；掺杂/金属/辅料均情景值；不得视为可生产电池配方。</x:v>
      </x:c>
      <x:c r="J163" s="22" t="str">
        <x:v>https://www.energy.gov/cmei/systems/crystalline-silicon-photovoltaics-research
https://www.energy.gov/cmei/systems/solar-photovoltaic-manufacturing-basics</x:v>
      </x:c>
    </x:row>
    <x:row r="164" ht="40" customHeight="1">
      <x:c r="A164" s="22" t="str">
        <x:v>M_CELL</x:v>
      </x:c>
      <x:c r="B164" s="22" t="str">
        <x:v>晶硅电池片组</x:v>
      </x:c>
      <x:c r="C164" s="22" t="str">
        <x:v>R10</x:v>
      </x:c>
      <x:c r="D164" s="30" t="n">
        <x:v>0.00002</x:v>
      </x:c>
      <x:c r="E164" s="30" t="n">
        <x:v>1</x:v>
      </x:c>
      <x:c r="F164" s="31" t="n">
        <x:f>D164/E164</x:f>
        <x:v>0.00002</x:v>
      </x:c>
      <x:c r="G164" s="22" t="str">
        <x:v>kg有效组分当量</x:v>
      </x:c>
      <x:c r="H164" s="22" t="str">
        <x:v>H</x:v>
      </x:c>
      <x:c r="I164" s="22" t="str">
        <x:v>硅片180µm、有效覆盖率90%、切片收得率65%；掺杂/金属/辅料均情景值；不得视为可生产电池配方。</x:v>
      </x:c>
      <x:c r="J164" s="22" t="str">
        <x:v>https://www.energy.gov/cmei/systems/crystalline-silicon-photovoltaics-research
https://www.energy.gov/cmei/systems/solar-photovoltaic-manufacturing-basics</x:v>
      </x:c>
    </x:row>
    <x:row r="165" ht="40" customHeight="1">
      <x:c r="A165" s="22" t="str">
        <x:v>M_CELL</x:v>
      </x:c>
      <x:c r="B165" s="22" t="str">
        <x:v>晶硅电池片组</x:v>
      </x:c>
      <x:c r="C165" s="22" t="str">
        <x:v>M_CU</x:v>
      </x:c>
      <x:c r="D165" s="30" t="n">
        <x:v>0.02</x:v>
      </x:c>
      <x:c r="E165" s="30" t="n">
        <x:v>1</x:v>
      </x:c>
      <x:c r="F165" s="31" t="n">
        <x:f>D165/E165</x:f>
        <x:v>0.02</x:v>
      </x:c>
      <x:c r="G165" s="22" t="str">
        <x:v>kg</x:v>
      </x:c>
      <x:c r="H165" s="22" t="str">
        <x:v>H</x:v>
      </x:c>
      <x:c r="I165" s="22" t="str">
        <x:v>硅片180µm、有效覆盖率90%、切片收得率65%；掺杂/金属/辅料均情景值；不得视为可生产电池配方。</x:v>
      </x:c>
      <x:c r="J165" s="22" t="str">
        <x:v>https://www.energy.gov/cmei/systems/crystalline-silicon-photovoltaics-research
https://www.energy.gov/cmei/systems/solar-photovoltaic-manufacturing-basics</x:v>
      </x:c>
    </x:row>
    <x:row r="166" ht="40" customHeight="1">
      <x:c r="A166" s="22" t="str">
        <x:v>M_CELL</x:v>
      </x:c>
      <x:c r="B166" s="22" t="str">
        <x:v>晶硅电池片组</x:v>
      </x:c>
      <x:c r="C166" s="22" t="str">
        <x:v>X04</x:v>
      </x:c>
      <x:c r="D166" s="30" t="n">
        <x:v>0.05</x:v>
      </x:c>
      <x:c r="E166" s="30" t="n">
        <x:v>1</x:v>
      </x:c>
      <x:c r="F166" s="31" t="n">
        <x:f>D166/E166</x:f>
        <x:v>0.05</x:v>
      </x:c>
      <x:c r="G166" s="22" t="str">
        <x:v>kg</x:v>
      </x:c>
      <x:c r="H166" s="22" t="str">
        <x:v>H</x:v>
      </x:c>
      <x:c r="I166" s="22" t="str">
        <x:v>硅片180µm、有效覆盖率90%、切片收得率65%；掺杂/金属/辅料均情景值；不得视为可生产电池配方。</x:v>
      </x:c>
      <x:c r="J166" s="22" t="str">
        <x:v>https://www.energy.gov/cmei/systems/crystalline-silicon-photovoltaics-research
https://www.energy.gov/cmei/systems/solar-photovoltaic-manufacturing-basics</x:v>
      </x:c>
    </x:row>
    <x:row r="167" ht="40" customHeight="1">
      <x:c r="A167" s="22" t="str">
        <x:v>E01</x:v>
      </x:c>
      <x:c r="B167" s="22" t="str">
        <x:v>晶硅太阳能板</x:v>
      </x:c>
      <x:c r="C167" s="22" t="str">
        <x:v>M_CELL</x:v>
      </x:c>
      <x:c r="D167" s="30" t="n">
        <x:v>1</x:v>
      </x:c>
      <x:c r="E167" s="30" t="n">
        <x:v>1</x:v>
      </x:c>
      <x:c r="F167" s="31" t="n">
        <x:f>D167/E167</x:f>
        <x:v>1</x:v>
      </x:c>
      <x:c r="G167" s="22" t="str">
        <x:v>组/m²组件</x:v>
      </x:c>
      <x:c r="H167" s="22" t="str">
        <x:v>H</x:v>
      </x:c>
      <x:c r="I167" s="22" t="str">
        <x:v>高级/条件性本地制造；真实电池制程辅料与合格率尚未闭合。启动阶段可进口电池片而本地封装，但该替代路线未混入本矩阵。</x:v>
      </x:c>
      <x:c r="J167" s="22" t="str">
        <x:v>https://www.energy.gov/cmei/systems/crystalline-silicon-photovoltaics-research
https://www.energy.gov/cmei/systems/solar-photovoltaic-manufacturing-basics</x:v>
      </x:c>
    </x:row>
    <x:row r="168" ht="40" customHeight="1">
      <x:c r="A168" s="22" t="str">
        <x:v>E01</x:v>
      </x:c>
      <x:c r="B168" s="22" t="str">
        <x:v>晶硅太阳能板</x:v>
      </x:c>
      <x:c r="C168" s="22" t="str">
        <x:v>M_GL</x:v>
      </x:c>
      <x:c r="D168" s="30" t="n">
        <x:v>8.8</x:v>
      </x:c>
      <x:c r="E168" s="30" t="n">
        <x:v>1</x:v>
      </x:c>
      <x:c r="F168" s="31" t="n">
        <x:f>D168/E168</x:f>
        <x:v>8.8</x:v>
      </x:c>
      <x:c r="G168" s="22" t="str">
        <x:v>kg</x:v>
      </x:c>
      <x:c r="H168" s="22" t="str">
        <x:v>H</x:v>
      </x:c>
      <x:c r="I168" s="22" t="str">
        <x:v>高级/条件性本地制造；真实电池制程辅料与合格率尚未闭合。启动阶段可进口电池片而本地封装，但该替代路线未混入本矩阵。</x:v>
      </x:c>
      <x:c r="J168" s="22" t="str">
        <x:v>https://www.energy.gov/cmei/systems/crystalline-silicon-photovoltaics-research
https://www.energy.gov/cmei/systems/solar-photovoltaic-manufacturing-basics</x:v>
      </x:c>
    </x:row>
    <x:row r="169" ht="40" customHeight="1">
      <x:c r="A169" s="22" t="str">
        <x:v>E01</x:v>
      </x:c>
      <x:c r="B169" s="22" t="str">
        <x:v>晶硅太阳能板</x:v>
      </x:c>
      <x:c r="C169" s="22" t="str">
        <x:v>M_AL</x:v>
      </x:c>
      <x:c r="D169" s="30" t="n">
        <x:v>1</x:v>
      </x:c>
      <x:c r="E169" s="30" t="n">
        <x:v>1</x:v>
      </x:c>
      <x:c r="F169" s="31" t="n">
        <x:f>D169/E169</x:f>
        <x:v>1</x:v>
      </x:c>
      <x:c r="G169" s="22" t="str">
        <x:v>kg</x:v>
      </x:c>
      <x:c r="H169" s="22" t="str">
        <x:v>H</x:v>
      </x:c>
      <x:c r="I169" s="22" t="str">
        <x:v>高级/条件性本地制造；真实电池制程辅料与合格率尚未闭合。启动阶段可进口电池片而本地封装，但该替代路线未混入本矩阵。</x:v>
      </x:c>
      <x:c r="J169" s="22" t="str">
        <x:v>https://www.energy.gov/cmei/systems/crystalline-silicon-photovoltaics-research
https://www.energy.gov/cmei/systems/solar-photovoltaic-manufacturing-basics</x:v>
      </x:c>
    </x:row>
    <x:row r="170" ht="40" customHeight="1">
      <x:c r="A170" s="22" t="str">
        <x:v>E01</x:v>
      </x:c>
      <x:c r="B170" s="22" t="str">
        <x:v>晶硅太阳能板</x:v>
      </x:c>
      <x:c r="C170" s="22" t="str">
        <x:v>M_CU</x:v>
      </x:c>
      <x:c r="D170" s="30" t="n">
        <x:v>0.12</x:v>
      </x:c>
      <x:c r="E170" s="30" t="n">
        <x:v>1</x:v>
      </x:c>
      <x:c r="F170" s="31" t="n">
        <x:f>D170/E170</x:f>
        <x:v>0.12</x:v>
      </x:c>
      <x:c r="G170" s="22" t="str">
        <x:v>kg</x:v>
      </x:c>
      <x:c r="H170" s="22" t="str">
        <x:v>H</x:v>
      </x:c>
      <x:c r="I170" s="22" t="str">
        <x:v>高级/条件性本地制造；真实电池制程辅料与合格率尚未闭合。启动阶段可进口电池片而本地封装，但该替代路线未混入本矩阵。</x:v>
      </x:c>
      <x:c r="J170" s="22" t="str">
        <x:v>https://www.energy.gov/cmei/systems/crystalline-silicon-photovoltaics-research
https://www.energy.gov/cmei/systems/solar-photovoltaic-manufacturing-basics</x:v>
      </x:c>
    </x:row>
    <x:row r="171" ht="40" customHeight="1">
      <x:c r="A171" s="22" t="str">
        <x:v>E01</x:v>
      </x:c>
      <x:c r="B171" s="22" t="str">
        <x:v>晶硅太阳能板</x:v>
      </x:c>
      <x:c r="C171" s="22" t="str">
        <x:v>M_SN</x:v>
      </x:c>
      <x:c r="D171" s="30" t="n">
        <x:v>0.01</x:v>
      </x:c>
      <x:c r="E171" s="30" t="n">
        <x:v>1</x:v>
      </x:c>
      <x:c r="F171" s="31" t="n">
        <x:f>D171/E171</x:f>
        <x:v>0.01</x:v>
      </x:c>
      <x:c r="G171" s="22" t="str">
        <x:v>kg</x:v>
      </x:c>
      <x:c r="H171" s="22" t="str">
        <x:v>H</x:v>
      </x:c>
      <x:c r="I171" s="22" t="str">
        <x:v>高级/条件性本地制造；真实电池制程辅料与合格率尚未闭合。启动阶段可进口电池片而本地封装，但该替代路线未混入本矩阵。</x:v>
      </x:c>
      <x:c r="J171" s="22" t="str">
        <x:v>https://www.energy.gov/cmei/systems/crystalline-silicon-photovoltaics-research
https://www.energy.gov/cmei/systems/solar-photovoltaic-manufacturing-basics</x:v>
      </x:c>
    </x:row>
    <x:row r="172" ht="40" customHeight="1">
      <x:c r="A172" s="22" t="str">
        <x:v>E01</x:v>
      </x:c>
      <x:c r="B172" s="22" t="str">
        <x:v>晶硅太阳能板</x:v>
      </x:c>
      <x:c r="C172" s="22" t="str">
        <x:v>M_PDMS</x:v>
      </x:c>
      <x:c r="D172" s="30" t="n">
        <x:v>0.6</x:v>
      </x:c>
      <x:c r="E172" s="30" t="n">
        <x:v>1</x:v>
      </x:c>
      <x:c r="F172" s="31" t="n">
        <x:f>D172/E172</x:f>
        <x:v>0.6</x:v>
      </x:c>
      <x:c r="G172" s="22" t="str">
        <x:v>kg</x:v>
      </x:c>
      <x:c r="H172" s="22" t="str">
        <x:v>H</x:v>
      </x:c>
      <x:c r="I172" s="22" t="str">
        <x:v>高级/条件性本地制造；真实电池制程辅料与合格率尚未闭合。启动阶段可进口电池片而本地封装，但该替代路线未混入本矩阵。</x:v>
      </x:c>
      <x:c r="J172" s="22" t="str">
        <x:v>https://www.energy.gov/cmei/systems/crystalline-silicon-photovoltaics-research
https://www.energy.gov/cmei/systems/solar-photovoltaic-manufacturing-basics</x:v>
      </x:c>
    </x:row>
    <x:row r="173" ht="40" customHeight="1">
      <x:c r="A173" s="22" t="str">
        <x:v>E01</x:v>
      </x:c>
      <x:c r="B173" s="22" t="str">
        <x:v>晶硅太阳能板</x:v>
      </x:c>
      <x:c r="C173" s="22" t="str">
        <x:v>X01</x:v>
      </x:c>
      <x:c r="D173" s="30" t="n">
        <x:v>0.05</x:v>
      </x:c>
      <x:c r="E173" s="30" t="n">
        <x:v>1</x:v>
      </x:c>
      <x:c r="F173" s="31" t="n">
        <x:f>D173/E173</x:f>
        <x:v>0.05</x:v>
      </x:c>
      <x:c r="G173" s="22" t="str">
        <x:v>kg</x:v>
      </x:c>
      <x:c r="H173" s="22" t="str">
        <x:v>H</x:v>
      </x:c>
      <x:c r="I173" s="22" t="str">
        <x:v>高级/条件性本地制造；真实电池制程辅料与合格率尚未闭合。启动阶段可进口电池片而本地封装，但该替代路线未混入本矩阵。</x:v>
      </x:c>
      <x:c r="J173" s="22" t="str">
        <x:v>https://www.energy.gov/cmei/systems/crystalline-silicon-photovoltaics-research
https://www.energy.gov/cmei/systems/solar-photovoltaic-manufacturing-basics</x:v>
      </x:c>
    </x:row>
    <x:row r="174" ht="40" customHeight="1">
      <x:c r="A174" s="22" t="str">
        <x:v>E02</x:v>
      </x:c>
      <x:c r="B174" s="22" t="str">
        <x:v>太阳热集热板</x:v>
      </x:c>
      <x:c r="C174" s="22" t="str">
        <x:v>M_GL</x:v>
      </x:c>
      <x:c r="D174" s="30" t="n">
        <x:v>5.5</x:v>
      </x:c>
      <x:c r="E174" s="30" t="n">
        <x:v>1</x:v>
      </x:c>
      <x:c r="F174" s="31" t="n">
        <x:f>D174/E174</x:f>
        <x:v>5.5</x:v>
      </x:c>
      <x:c r="G174" s="22" t="str">
        <x:v>kg</x:v>
      </x:c>
      <x:c r="H174" s="22" t="str">
        <x:v>H</x:v>
      </x:c>
      <x:c r="I174" s="22" t="str"/>
      <x:c r="J174" s="22" t="str">
        <x:v>本回答设定；不是文献实测</x:v>
      </x:c>
    </x:row>
    <x:row r="175" ht="40" customHeight="1">
      <x:c r="A175" s="22" t="str">
        <x:v>E02</x:v>
      </x:c>
      <x:c r="B175" s="22" t="str">
        <x:v>太阳热集热板</x:v>
      </x:c>
      <x:c r="C175" s="22" t="str">
        <x:v>M_ST</x:v>
      </x:c>
      <x:c r="D175" s="30" t="n">
        <x:v>6</x:v>
      </x:c>
      <x:c r="E175" s="30" t="n">
        <x:v>1</x:v>
      </x:c>
      <x:c r="F175" s="31" t="n">
        <x:f>D175/E175</x:f>
        <x:v>6</x:v>
      </x:c>
      <x:c r="G175" s="22" t="str">
        <x:v>kg</x:v>
      </x:c>
      <x:c r="H175" s="22" t="str">
        <x:v>H</x:v>
      </x:c>
      <x:c r="I175" s="22" t="str"/>
      <x:c r="J175" s="22" t="str">
        <x:v>本回答设定；不是文献实测</x:v>
      </x:c>
    </x:row>
    <x:row r="176" ht="40" customHeight="1">
      <x:c r="A176" s="22" t="str">
        <x:v>E02</x:v>
      </x:c>
      <x:c r="B176" s="22" t="str">
        <x:v>太阳热集热板</x:v>
      </x:c>
      <x:c r="C176" s="22" t="str">
        <x:v>M_CU</x:v>
      </x:c>
      <x:c r="D176" s="30" t="n">
        <x:v>0.5</x:v>
      </x:c>
      <x:c r="E176" s="30" t="n">
        <x:v>1</x:v>
      </x:c>
      <x:c r="F176" s="31" t="n">
        <x:f>D176/E176</x:f>
        <x:v>0.5</x:v>
      </x:c>
      <x:c r="G176" s="22" t="str">
        <x:v>kg</x:v>
      </x:c>
      <x:c r="H176" s="22" t="str">
        <x:v>H</x:v>
      </x:c>
      <x:c r="I176" s="22" t="str"/>
      <x:c r="J176" s="22" t="str">
        <x:v>本回答设定；不是文献实测</x:v>
      </x:c>
    </x:row>
    <x:row r="177" ht="40" customHeight="1">
      <x:c r="A177" s="22" t="str">
        <x:v>E02</x:v>
      </x:c>
      <x:c r="B177" s="22" t="str">
        <x:v>太阳热集热板</x:v>
      </x:c>
      <x:c r="C177" s="22" t="str">
        <x:v>M_FIB</x:v>
      </x:c>
      <x:c r="D177" s="30" t="n">
        <x:v>2</x:v>
      </x:c>
      <x:c r="E177" s="30" t="n">
        <x:v>1</x:v>
      </x:c>
      <x:c r="F177" s="31" t="n">
        <x:f>D177/E177</x:f>
        <x:v>2</x:v>
      </x:c>
      <x:c r="G177" s="22" t="str">
        <x:v>kg</x:v>
      </x:c>
      <x:c r="H177" s="22" t="str">
        <x:v>H</x:v>
      </x:c>
      <x:c r="I177" s="22" t="str"/>
      <x:c r="J177" s="22" t="str">
        <x:v>本回答设定；不是文献实测</x:v>
      </x:c>
    </x:row>
    <x:row r="178" ht="40" customHeight="1">
      <x:c r="A178" s="22" t="str">
        <x:v>E02</x:v>
      </x:c>
      <x:c r="B178" s="22" t="str">
        <x:v>太阳热集热板</x:v>
      </x:c>
      <x:c r="C178" s="22" t="str">
        <x:v>M_SEAL</x:v>
      </x:c>
      <x:c r="D178" s="30" t="n">
        <x:v>0.1</x:v>
      </x:c>
      <x:c r="E178" s="30" t="n">
        <x:v>1</x:v>
      </x:c>
      <x:c r="F178" s="31" t="n">
        <x:f>D178/E178</x:f>
        <x:v>0.1</x:v>
      </x:c>
      <x:c r="G178" s="22" t="str">
        <x:v>kg</x:v>
      </x:c>
      <x:c r="H178" s="22" t="str">
        <x:v>H</x:v>
      </x:c>
      <x:c r="I178" s="22" t="str"/>
      <x:c r="J178" s="22" t="str">
        <x:v>本回答设定；不是文献实测</x:v>
      </x:c>
    </x:row>
    <x:row r="179" ht="40" customHeight="1">
      <x:c r="A179" s="22" t="str">
        <x:v>E02</x:v>
      </x:c>
      <x:c r="B179" s="22" t="str">
        <x:v>太阳热集热板</x:v>
      </x:c>
      <x:c r="C179" s="22" t="str">
        <x:v>X03</x:v>
      </x:c>
      <x:c r="D179" s="30" t="n">
        <x:v>0.02</x:v>
      </x:c>
      <x:c r="E179" s="30" t="n">
        <x:v>1</x:v>
      </x:c>
      <x:c r="F179" s="31" t="n">
        <x:f>D179/E179</x:f>
        <x:v>0.02</x:v>
      </x:c>
      <x:c r="G179" s="22" t="str">
        <x:v>kg</x:v>
      </x:c>
      <x:c r="H179" s="22" t="str">
        <x:v>H</x:v>
      </x:c>
      <x:c r="I179" s="22" t="str"/>
      <x:c r="J179" s="22" t="str">
        <x:v>本回答设定；不是文献实测</x:v>
      </x:c>
    </x:row>
    <x:row r="180" ht="40" customHeight="1">
      <x:c r="A180" s="22" t="str">
        <x:v>E03</x:v>
      </x:c>
      <x:c r="B180" s="22" t="str">
        <x:v>岩石显热储热模块</x:v>
      </x:c>
      <x:c r="C180" s="22" t="str">
        <x:v>R05</x:v>
      </x:c>
      <x:c r="D180" s="30" t="n">
        <x:v>16.80672268907563</x:v>
      </x:c>
      <x:c r="E180" s="30" t="n">
        <x:v>1</x:v>
      </x:c>
      <x:c r="F180" s="31" t="n">
        <x:f>D180/E180</x:f>
        <x:v>16.80672268907563</x:v>
      </x:c>
      <x:c r="G180" s="22" t="str">
        <x:v>kg有效组分当量</x:v>
      </x:c>
      <x:c r="H180" s="22" t="str">
        <x:v>H</x:v>
      </x:c>
      <x:c r="I180" s="22" t="str">
        <x:v>制造该容量不是已经存有热能；充热另需能量。</x:v>
      </x:c>
      <x:c r="J180" s="22" t="str">
        <x:v>本回答设定；不是文献实测</x:v>
      </x:c>
    </x:row>
    <x:row r="181" ht="40" customHeight="1">
      <x:c r="A181" s="22" t="str">
        <x:v>E03</x:v>
      </x:c>
      <x:c r="B181" s="22" t="str">
        <x:v>岩石显热储热模块</x:v>
      </x:c>
      <x:c r="C181" s="22" t="str">
        <x:v>M_ST</x:v>
      </x:c>
      <x:c r="D181" s="30" t="n">
        <x:v>2</x:v>
      </x:c>
      <x:c r="E181" s="30" t="n">
        <x:v>1</x:v>
      </x:c>
      <x:c r="F181" s="31" t="n">
        <x:f>D181/E181</x:f>
        <x:v>2</x:v>
      </x:c>
      <x:c r="G181" s="22" t="str">
        <x:v>kg</x:v>
      </x:c>
      <x:c r="H181" s="22" t="str">
        <x:v>H</x:v>
      </x:c>
      <x:c r="I181" s="22" t="str">
        <x:v>制造该容量不是已经存有热能；充热另需能量。</x:v>
      </x:c>
      <x:c r="J181" s="22" t="str">
        <x:v>本回答设定；不是文献实测</x:v>
      </x:c>
    </x:row>
    <x:row r="182" ht="40" customHeight="1">
      <x:c r="A182" s="22" t="str">
        <x:v>E03</x:v>
      </x:c>
      <x:c r="B182" s="22" t="str">
        <x:v>岩石显热储热模块</x:v>
      </x:c>
      <x:c r="C182" s="22" t="str">
        <x:v>M_FIB</x:v>
      </x:c>
      <x:c r="D182" s="30" t="n">
        <x:v>2</x:v>
      </x:c>
      <x:c r="E182" s="30" t="n">
        <x:v>1</x:v>
      </x:c>
      <x:c r="F182" s="31" t="n">
        <x:f>D182/E182</x:f>
        <x:v>2</x:v>
      </x:c>
      <x:c r="G182" s="22" t="str">
        <x:v>kg</x:v>
      </x:c>
      <x:c r="H182" s="22" t="str">
        <x:v>H</x:v>
      </x:c>
      <x:c r="I182" s="22" t="str">
        <x:v>制造该容量不是已经存有热能；充热另需能量。</x:v>
      </x:c>
      <x:c r="J182" s="22" t="str">
        <x:v>本回答设定；不是文献实测</x:v>
      </x:c>
    </x:row>
    <x:row r="183" ht="40" customHeight="1">
      <x:c r="A183" s="22" t="str">
        <x:v>E04</x:v>
      </x:c>
      <x:c r="B183" s="22" t="str">
        <x:v>碱性水电解设备</x:v>
      </x:c>
      <x:c r="C183" s="22" t="str">
        <x:v>M_ST</x:v>
      </x:c>
      <x:c r="D183" s="30" t="n">
        <x:v>15</x:v>
      </x:c>
      <x:c r="E183" s="30" t="n">
        <x:v>1</x:v>
      </x:c>
      <x:c r="F183" s="31" t="n">
        <x:f>D183/E183</x:f>
        <x:v>15</x:v>
      </x:c>
      <x:c r="G183" s="22" t="str">
        <x:v>kg</x:v>
      </x:c>
      <x:c r="H183" s="22" t="str">
        <x:v>H</x:v>
      </x:c>
      <x:c r="I183" s="22" t="str"/>
      <x:c r="J183" s="22" t="str">
        <x:v>本回答设定；不是文献实测</x:v>
      </x:c>
    </x:row>
    <x:row r="184" ht="40" customHeight="1">
      <x:c r="A184" s="22" t="str">
        <x:v>E04</x:v>
      </x:c>
      <x:c r="B184" s="22" t="str">
        <x:v>碱性水电解设备</x:v>
      </x:c>
      <x:c r="C184" s="22" t="str">
        <x:v>M_NI</x:v>
      </x:c>
      <x:c r="D184" s="30" t="n">
        <x:v>1</x:v>
      </x:c>
      <x:c r="E184" s="30" t="n">
        <x:v>1</x:v>
      </x:c>
      <x:c r="F184" s="31" t="n">
        <x:f>D184/E184</x:f>
        <x:v>1</x:v>
      </x:c>
      <x:c r="G184" s="22" t="str">
        <x:v>kg</x:v>
      </x:c>
      <x:c r="H184" s="22" t="str">
        <x:v>H</x:v>
      </x:c>
      <x:c r="I184" s="22" t="str"/>
      <x:c r="J184" s="22" t="str">
        <x:v>本回答设定；不是文献实测</x:v>
      </x:c>
    </x:row>
    <x:row r="185" ht="40" customHeight="1">
      <x:c r="A185" s="22" t="str">
        <x:v>E04</x:v>
      </x:c>
      <x:c r="B185" s="22" t="str">
        <x:v>碱性水电解设备</x:v>
      </x:c>
      <x:c r="C185" s="22" t="str">
        <x:v>M_CU</x:v>
      </x:c>
      <x:c r="D185" s="30" t="n">
        <x:v>1</x:v>
      </x:c>
      <x:c r="E185" s="30" t="n">
        <x:v>1</x:v>
      </x:c>
      <x:c r="F185" s="31" t="n">
        <x:f>D185/E185</x:f>
        <x:v>1</x:v>
      </x:c>
      <x:c r="G185" s="22" t="str">
        <x:v>kg</x:v>
      </x:c>
      <x:c r="H185" s="22" t="str">
        <x:v>H</x:v>
      </x:c>
      <x:c r="I185" s="22" t="str"/>
      <x:c r="J185" s="22" t="str">
        <x:v>本回答设定；不是文献实测</x:v>
      </x:c>
    </x:row>
    <x:row r="186" ht="40" customHeight="1">
      <x:c r="A186" s="22" t="str">
        <x:v>E04</x:v>
      </x:c>
      <x:c r="B186" s="22" t="str">
        <x:v>碱性水电解设备</x:v>
      </x:c>
      <x:c r="C186" s="22" t="str">
        <x:v>M_PE</x:v>
      </x:c>
      <x:c r="D186" s="30" t="n">
        <x:v>1</x:v>
      </x:c>
      <x:c r="E186" s="30" t="n">
        <x:v>1</x:v>
      </x:c>
      <x:c r="F186" s="31" t="n">
        <x:f>D186/E186</x:f>
        <x:v>1</x:v>
      </x:c>
      <x:c r="G186" s="22" t="str">
        <x:v>kg</x:v>
      </x:c>
      <x:c r="H186" s="22" t="str">
        <x:v>H</x:v>
      </x:c>
      <x:c r="I186" s="22" t="str"/>
      <x:c r="J186" s="22" t="str">
        <x:v>本回答设定；不是文献实测</x:v>
      </x:c>
    </x:row>
    <x:row r="187" ht="40" customHeight="1">
      <x:c r="A187" s="22" t="str">
        <x:v>E04</x:v>
      </x:c>
      <x:c r="B187" s="22" t="str">
        <x:v>碱性水电解设备</x:v>
      </x:c>
      <x:c r="C187" s="22" t="str">
        <x:v>M_SEAL</x:v>
      </x:c>
      <x:c r="D187" s="30" t="n">
        <x:v>0.2</x:v>
      </x:c>
      <x:c r="E187" s="30" t="n">
        <x:v>1</x:v>
      </x:c>
      <x:c r="F187" s="31" t="n">
        <x:f>D187/E187</x:f>
        <x:v>0.2</x:v>
      </x:c>
      <x:c r="G187" s="22" t="str">
        <x:v>kg</x:v>
      </x:c>
      <x:c r="H187" s="22" t="str">
        <x:v>H</x:v>
      </x:c>
      <x:c r="I187" s="22" t="str"/>
      <x:c r="J187" s="22" t="str">
        <x:v>本回答设定；不是文献实测</x:v>
      </x:c>
    </x:row>
    <x:row r="188" ht="40" customHeight="1">
      <x:c r="A188" s="22" t="str">
        <x:v>E04</x:v>
      </x:c>
      <x:c r="B188" s="22" t="str">
        <x:v>碱性水电解设备</x:v>
      </x:c>
      <x:c r="C188" s="22" t="str">
        <x:v>M_KOH</x:v>
      </x:c>
      <x:c r="D188" s="30" t="n">
        <x:v>0.5</x:v>
      </x:c>
      <x:c r="E188" s="30" t="n">
        <x:v>1</x:v>
      </x:c>
      <x:c r="F188" s="31" t="n">
        <x:f>D188/E188</x:f>
        <x:v>0.5</x:v>
      </x:c>
      <x:c r="G188" s="22" t="str">
        <x:v>kg</x:v>
      </x:c>
      <x:c r="H188" s="22" t="str">
        <x:v>H</x:v>
      </x:c>
      <x:c r="I188" s="22" t="str"/>
      <x:c r="J188" s="22" t="str">
        <x:v>本回答设定；不是文献实测</x:v>
      </x:c>
    </x:row>
    <x:row r="189" ht="40" customHeight="1">
      <x:c r="A189" s="22" t="str">
        <x:v>E04</x:v>
      </x:c>
      <x:c r="B189" s="22" t="str">
        <x:v>碱性水电解设备</x:v>
      </x:c>
      <x:c r="C189" s="22" t="str">
        <x:v>X01</x:v>
      </x:c>
      <x:c r="D189" s="30" t="n">
        <x:v>0.5</x:v>
      </x:c>
      <x:c r="E189" s="30" t="n">
        <x:v>1</x:v>
      </x:c>
      <x:c r="F189" s="31" t="n">
        <x:f>D189/E189</x:f>
        <x:v>0.5</x:v>
      </x:c>
      <x:c r="G189" s="22" t="str">
        <x:v>kg</x:v>
      </x:c>
      <x:c r="H189" s="22" t="str">
        <x:v>H</x:v>
      </x:c>
      <x:c r="I189" s="22" t="str"/>
      <x:c r="J189" s="22" t="str">
        <x:v>本回答设定；不是文献实测</x:v>
      </x:c>
    </x:row>
    <x:row r="190" ht="40" customHeight="1">
      <x:c r="A190" s="22" t="str">
        <x:v>E04</x:v>
      </x:c>
      <x:c r="B190" s="22" t="str">
        <x:v>碱性水电解设备</x:v>
      </x:c>
      <x:c r="C190" s="22" t="str">
        <x:v>X03</x:v>
      </x:c>
      <x:c r="D190" s="30" t="n">
        <x:v>0.2</x:v>
      </x:c>
      <x:c r="E190" s="30" t="n">
        <x:v>1</x:v>
      </x:c>
      <x:c r="F190" s="31" t="n">
        <x:f>D190/E190</x:f>
        <x:v>0.2</x:v>
      </x:c>
      <x:c r="G190" s="22" t="str">
        <x:v>kg</x:v>
      </x:c>
      <x:c r="H190" s="22" t="str">
        <x:v>H</x:v>
      </x:c>
      <x:c r="I190" s="22" t="str"/>
      <x:c r="J190" s="22" t="str">
        <x:v>本回答设定；不是文献实测</x:v>
      </x:c>
    </x:row>
    <x:row r="191" ht="40" customHeight="1">
      <x:c r="A191" s="22" t="str">
        <x:v>E05</x:v>
      </x:c>
      <x:c r="B191" s="22" t="str">
        <x:v>甲烷合成设备</x:v>
      </x:c>
      <x:c r="C191" s="22" t="str">
        <x:v>M_ST</x:v>
      </x:c>
      <x:c r="D191" s="30" t="n">
        <x:v>30</x:v>
      </x:c>
      <x:c r="E191" s="30" t="n">
        <x:v>1</x:v>
      </x:c>
      <x:c r="F191" s="31" t="n">
        <x:f>D191/E191</x:f>
        <x:v>30</x:v>
      </x:c>
      <x:c r="G191" s="22" t="str">
        <x:v>kg</x:v>
      </x:c>
      <x:c r="H191" s="22" t="str">
        <x:v>H</x:v>
      </x:c>
      <x:c r="I191" s="22" t="str"/>
      <x:c r="J191" s="22" t="str">
        <x:v>本回答设定；不是文献实测</x:v>
      </x:c>
    </x:row>
    <x:row r="192" ht="40" customHeight="1">
      <x:c r="A192" s="22" t="str">
        <x:v>E05</x:v>
      </x:c>
      <x:c r="B192" s="22" t="str">
        <x:v>甲烷合成设备</x:v>
      </x:c>
      <x:c r="C192" s="22" t="str">
        <x:v>M_NI</x:v>
      </x:c>
      <x:c r="D192" s="30" t="n">
        <x:v>0.5</x:v>
      </x:c>
      <x:c r="E192" s="30" t="n">
        <x:v>1</x:v>
      </x:c>
      <x:c r="F192" s="31" t="n">
        <x:f>D192/E192</x:f>
        <x:v>0.5</x:v>
      </x:c>
      <x:c r="G192" s="22" t="str">
        <x:v>kg</x:v>
      </x:c>
      <x:c r="H192" s="22" t="str">
        <x:v>H</x:v>
      </x:c>
      <x:c r="I192" s="22" t="str"/>
      <x:c r="J192" s="22" t="str">
        <x:v>本回答设定；不是文献实测</x:v>
      </x:c>
    </x:row>
    <x:row r="193" ht="40" customHeight="1">
      <x:c r="A193" s="22" t="str">
        <x:v>E05</x:v>
      </x:c>
      <x:c r="B193" s="22" t="str">
        <x:v>甲烷合成设备</x:v>
      </x:c>
      <x:c r="C193" s="22" t="str">
        <x:v>M_CU</x:v>
      </x:c>
      <x:c r="D193" s="30" t="n">
        <x:v>2</x:v>
      </x:c>
      <x:c r="E193" s="30" t="n">
        <x:v>1</x:v>
      </x:c>
      <x:c r="F193" s="31" t="n">
        <x:f>D193/E193</x:f>
        <x:v>2</x:v>
      </x:c>
      <x:c r="G193" s="22" t="str">
        <x:v>kg</x:v>
      </x:c>
      <x:c r="H193" s="22" t="str">
        <x:v>H</x:v>
      </x:c>
      <x:c r="I193" s="22" t="str"/>
      <x:c r="J193" s="22" t="str">
        <x:v>本回答设定；不是文献实测</x:v>
      </x:c>
    </x:row>
    <x:row r="194" ht="40" customHeight="1">
      <x:c r="A194" s="22" t="str">
        <x:v>E05</x:v>
      </x:c>
      <x:c r="B194" s="22" t="str">
        <x:v>甲烷合成设备</x:v>
      </x:c>
      <x:c r="C194" s="22" t="str">
        <x:v>M_CER</x:v>
      </x:c>
      <x:c r="D194" s="30" t="n">
        <x:v>5</x:v>
      </x:c>
      <x:c r="E194" s="30" t="n">
        <x:v>1</x:v>
      </x:c>
      <x:c r="F194" s="31" t="n">
        <x:f>D194/E194</x:f>
        <x:v>5</x:v>
      </x:c>
      <x:c r="G194" s="22" t="str">
        <x:v>kg</x:v>
      </x:c>
      <x:c r="H194" s="22" t="str">
        <x:v>H</x:v>
      </x:c>
      <x:c r="I194" s="22" t="str"/>
      <x:c r="J194" s="22" t="str">
        <x:v>本回答设定；不是文献实测</x:v>
      </x:c>
    </x:row>
    <x:row r="195" ht="40" customHeight="1">
      <x:c r="A195" s="22" t="str">
        <x:v>E05</x:v>
      </x:c>
      <x:c r="B195" s="22" t="str">
        <x:v>甲烷合成设备</x:v>
      </x:c>
      <x:c r="C195" s="22" t="str">
        <x:v>M_SEAL</x:v>
      </x:c>
      <x:c r="D195" s="30" t="n">
        <x:v>0.3</x:v>
      </x:c>
      <x:c r="E195" s="30" t="n">
        <x:v>1</x:v>
      </x:c>
      <x:c r="F195" s="31" t="n">
        <x:f>D195/E195</x:f>
        <x:v>0.3</x:v>
      </x:c>
      <x:c r="G195" s="22" t="str">
        <x:v>kg</x:v>
      </x:c>
      <x:c r="H195" s="22" t="str">
        <x:v>H</x:v>
      </x:c>
      <x:c r="I195" s="22" t="str"/>
      <x:c r="J195" s="22" t="str">
        <x:v>本回答设定；不是文献实测</x:v>
      </x:c>
    </x:row>
    <x:row r="196" ht="40" customHeight="1">
      <x:c r="A196" s="22" t="str">
        <x:v>E05</x:v>
      </x:c>
      <x:c r="B196" s="22" t="str">
        <x:v>甲烷合成设备</x:v>
      </x:c>
      <x:c r="C196" s="22" t="str">
        <x:v>X01</x:v>
      </x:c>
      <x:c r="D196" s="30" t="n">
        <x:v>1</x:v>
      </x:c>
      <x:c r="E196" s="30" t="n">
        <x:v>1</x:v>
      </x:c>
      <x:c r="F196" s="31" t="n">
        <x:f>D196/E196</x:f>
        <x:v>1</x:v>
      </x:c>
      <x:c r="G196" s="22" t="str">
        <x:v>kg</x:v>
      </x:c>
      <x:c r="H196" s="22" t="str">
        <x:v>H</x:v>
      </x:c>
      <x:c r="I196" s="22" t="str"/>
      <x:c r="J196" s="22" t="str">
        <x:v>本回答设定；不是文献实测</x:v>
      </x:c>
    </x:row>
    <x:row r="197" ht="40" customHeight="1">
      <x:c r="A197" s="22" t="str">
        <x:v>E05</x:v>
      </x:c>
      <x:c r="B197" s="22" t="str">
        <x:v>甲烷合成设备</x:v>
      </x:c>
      <x:c r="C197" s="22" t="str">
        <x:v>X03</x:v>
      </x:c>
      <x:c r="D197" s="30" t="n">
        <x:v>0.1</x:v>
      </x:c>
      <x:c r="E197" s="30" t="n">
        <x:v>1</x:v>
      </x:c>
      <x:c r="F197" s="31" t="n">
        <x:f>D197/E197</x:f>
        <x:v>0.1</x:v>
      </x:c>
      <x:c r="G197" s="22" t="str">
        <x:v>kg</x:v>
      </x:c>
      <x:c r="H197" s="22" t="str">
        <x:v>H</x:v>
      </x:c>
      <x:c r="I197" s="22" t="str"/>
      <x:c r="J197" s="22" t="str">
        <x:v>本回答设定；不是文献实测</x:v>
      </x:c>
    </x:row>
    <x:row r="198" ht="40" customHeight="1">
      <x:c r="A198" s="22" t="str">
        <x:v>E06</x:v>
      </x:c>
      <x:c r="B198" s="22" t="str">
        <x:v>合成甲烷</x:v>
      </x:c>
      <x:c r="C198" s="22" t="str">
        <x:v>R02</x:v>
      </x:c>
      <x:c r="D198" s="30" t="n">
        <x:v>2.7431901764009226</x:v>
      </x:c>
      <x:c r="E198" s="30" t="n">
        <x:v>1</x:v>
      </x:c>
      <x:c r="F198" s="31" t="n">
        <x:f>D198/E198</x:f>
        <x:v>2.7431901764009226</x:v>
      </x:c>
      <x:c r="G198" s="22" t="str">
        <x:v>kg有效组分当量</x:v>
      </x:c>
      <x:c r="H198" s="22" t="str">
        <x:v>T</x:v>
      </x:c>
      <x:c r="I198" s="22" t="str">
        <x:v>毛水量含上游电解；工艺回水单独列出。</x:v>
      </x:c>
      <x:c r="J198" s="22" t="str">
        <x:v>https://ntrs.nasa.gov/citations/19910014303</x:v>
      </x:c>
    </x:row>
    <x:row r="199" ht="40" customHeight="1">
      <x:c r="A199" s="22" t="str">
        <x:v>E06</x:v>
      </x:c>
      <x:c r="B199" s="22" t="str">
        <x:v>合成甲烷</x:v>
      </x:c>
      <x:c r="C199" s="22" t="str">
        <x:v>M_H2</x:v>
      </x:c>
      <x:c r="D199" s="30" t="n">
        <x:v>0.5026491304618838</x:v>
      </x:c>
      <x:c r="E199" s="30" t="n">
        <x:v>1</x:v>
      </x:c>
      <x:c r="F199" s="31" t="n">
        <x:f>D199/E199</x:f>
        <x:v>0.5026491304618838</x:v>
      </x:c>
      <x:c r="G199" s="22" t="str">
        <x:v>kg</x:v>
      </x:c>
      <x:c r="H199" s="22" t="str">
        <x:v>T</x:v>
      </x:c>
      <x:c r="I199" s="22" t="str">
        <x:v>毛水量含上游电解；工艺回水单独列出。</x:v>
      </x:c>
      <x:c r="J199" s="22" t="str">
        <x:v>https://ntrs.nasa.gov/citations/19910014303</x:v>
      </x:c>
    </x:row>
    <x:row r="200" ht="40" customHeight="1">
      <x:c r="A200" s="22" t="str">
        <x:v>E07</x:v>
      </x:c>
      <x:c r="B200" s="22" t="str">
        <x:v>氢气</x:v>
      </x:c>
      <x:c r="C200" s="22" t="str">
        <x:v>M_H2</x:v>
      </x:c>
      <x:c r="D200" s="30" t="n">
        <x:v>1</x:v>
      </x:c>
      <x:c r="E200" s="30" t="n">
        <x:v>1</x:v>
      </x:c>
      <x:c r="F200" s="31" t="n">
        <x:f>D200/E200</x:f>
        <x:v>1</x:v>
      </x:c>
      <x:c r="G200" s="22" t="str">
        <x:v>kg</x:v>
      </x:c>
      <x:c r="H200" s="22" t="str">
        <x:v>T</x:v>
      </x:c>
      <x:c r="I200" s="22" t="str"/>
      <x:c r="J200" s="22" t="str">
        <x:v>https://ntrs.nasa.gov/citations/19910014303</x:v>
      </x:c>
    </x:row>
    <x:row r="201" ht="40" customHeight="1">
      <x:c r="A201" s="22" t="str">
        <x:v>E08</x:v>
      </x:c>
      <x:c r="B201" s="22" t="str">
        <x:v>氧气</x:v>
      </x:c>
      <x:c r="C201" s="22" t="str">
        <x:v>M_O2</x:v>
      </x:c>
      <x:c r="D201" s="30" t="n">
        <x:v>1</x:v>
      </x:c>
      <x:c r="E201" s="30" t="n">
        <x:v>1</x:v>
      </x:c>
      <x:c r="F201" s="31" t="n">
        <x:f>D201/E201</x:f>
        <x:v>1</x:v>
      </x:c>
      <x:c r="G201" s="22" t="str">
        <x:v>kg</x:v>
      </x:c>
      <x:c r="H201" s="22" t="str">
        <x:v>T</x:v>
      </x:c>
      <x:c r="I201" s="22" t="str">
        <x:v>独立CO2电解列；已有副产氧时不应机械叠加本列。</x:v>
      </x:c>
      <x:c r="J201" s="22" t="str">
        <x:v>https://www.nasa.gov/solar-system/nasas-oxygen-generating-experiment-moxie-completes-mars-mission/</x:v>
      </x:c>
    </x:row>
    <x:row r="202" ht="40" customHeight="1">
      <x:c r="A202" s="22" t="str">
        <x:v>E09</x:v>
      </x:c>
      <x:c r="B202" s="22" t="str">
        <x:v>镍铁蓄电池模块</x:v>
      </x:c>
      <x:c r="C202" s="22" t="str">
        <x:v>M_NIOH</x:v>
      </x:c>
      <x:c r="D202" s="30" t="n">
        <x:v>6</x:v>
      </x:c>
      <x:c r="E202" s="30" t="n">
        <x:v>1</x:v>
      </x:c>
      <x:c r="F202" s="31" t="n">
        <x:f>D202/E202</x:f>
        <x:v>6</x:v>
      </x:c>
      <x:c r="G202" s="22" t="str">
        <x:v>kg</x:v>
      </x:c>
      <x:c r="H202" s="22" t="str">
        <x:v>H</x:v>
      </x:c>
      <x:c r="I202" s="22" t="str">
        <x:v>电池是储能不是一次能源；初次充电和充放效率另计。</x:v>
      </x:c>
      <x:c r="J202" s="22" t="str">
        <x:v>https://www.sandia.gov/app/uploads/sites/163/2021/09/SAND2014-17462.pdf</x:v>
      </x:c>
    </x:row>
    <x:row r="203" ht="40" customHeight="1">
      <x:c r="A203" s="22" t="str">
        <x:v>E09</x:v>
      </x:c>
      <x:c r="B203" s="22" t="str">
        <x:v>镍铁蓄电池模块</x:v>
      </x:c>
      <x:c r="C203" s="22" t="str">
        <x:v>M_FE</x:v>
      </x:c>
      <x:c r="D203" s="30" t="n">
        <x:v>3</x:v>
      </x:c>
      <x:c r="E203" s="30" t="n">
        <x:v>1</x:v>
      </x:c>
      <x:c r="F203" s="31" t="n">
        <x:f>D203/E203</x:f>
        <x:v>3</x:v>
      </x:c>
      <x:c r="G203" s="22" t="str">
        <x:v>kg</x:v>
      </x:c>
      <x:c r="H203" s="22" t="str">
        <x:v>H</x:v>
      </x:c>
      <x:c r="I203" s="22" t="str">
        <x:v>电池是储能不是一次能源；初次充电和充放效率另计。</x:v>
      </x:c>
      <x:c r="J203" s="22" t="str">
        <x:v>https://www.sandia.gov/app/uploads/sites/163/2021/09/SAND2014-17462.pdf</x:v>
      </x:c>
    </x:row>
    <x:row r="204" ht="40" customHeight="1">
      <x:c r="A204" s="22" t="str">
        <x:v>E09</x:v>
      </x:c>
      <x:c r="B204" s="22" t="str">
        <x:v>镍铁蓄电池模块</x:v>
      </x:c>
      <x:c r="C204" s="22" t="str">
        <x:v>M_ST</x:v>
      </x:c>
      <x:c r="D204" s="30" t="n">
        <x:v>10</x:v>
      </x:c>
      <x:c r="E204" s="30" t="n">
        <x:v>1</x:v>
      </x:c>
      <x:c r="F204" s="31" t="n">
        <x:f>D204/E204</x:f>
        <x:v>10</x:v>
      </x:c>
      <x:c r="G204" s="22" t="str">
        <x:v>kg</x:v>
      </x:c>
      <x:c r="H204" s="22" t="str">
        <x:v>H</x:v>
      </x:c>
      <x:c r="I204" s="22" t="str">
        <x:v>电池是储能不是一次能源；初次充电和充放效率另计。</x:v>
      </x:c>
      <x:c r="J204" s="22" t="str">
        <x:v>https://www.sandia.gov/app/uploads/sites/163/2021/09/SAND2014-17462.pdf</x:v>
      </x:c>
    </x:row>
    <x:row r="205" ht="40" customHeight="1">
      <x:c r="A205" s="22" t="str">
        <x:v>E09</x:v>
      </x:c>
      <x:c r="B205" s="22" t="str">
        <x:v>镍铁蓄电池模块</x:v>
      </x:c>
      <x:c r="C205" s="22" t="str">
        <x:v>M_KOH</x:v>
      </x:c>
      <x:c r="D205" s="30" t="n">
        <x:v>2</x:v>
      </x:c>
      <x:c r="E205" s="30" t="n">
        <x:v>1</x:v>
      </x:c>
      <x:c r="F205" s="31" t="n">
        <x:f>D205/E205</x:f>
        <x:v>2</x:v>
      </x:c>
      <x:c r="G205" s="22" t="str">
        <x:v>kg</x:v>
      </x:c>
      <x:c r="H205" s="22" t="str">
        <x:v>H</x:v>
      </x:c>
      <x:c r="I205" s="22" t="str">
        <x:v>电池是储能不是一次能源；初次充电和充放效率另计。</x:v>
      </x:c>
      <x:c r="J205" s="22" t="str">
        <x:v>https://www.sandia.gov/app/uploads/sites/163/2021/09/SAND2014-17462.pdf</x:v>
      </x:c>
    </x:row>
    <x:row r="206" ht="40" customHeight="1">
      <x:c r="A206" s="22" t="str">
        <x:v>E09</x:v>
      </x:c>
      <x:c r="B206" s="22" t="str">
        <x:v>镍铁蓄电池模块</x:v>
      </x:c>
      <x:c r="C206" s="22" t="str">
        <x:v>M_W</x:v>
      </x:c>
      <x:c r="D206" s="30" t="n">
        <x:v>8</x:v>
      </x:c>
      <x:c r="E206" s="30" t="n">
        <x:v>1</x:v>
      </x:c>
      <x:c r="F206" s="31" t="n">
        <x:f>D206/E206</x:f>
        <x:v>8</x:v>
      </x:c>
      <x:c r="G206" s="22" t="str">
        <x:v>kg</x:v>
      </x:c>
      <x:c r="H206" s="22" t="str">
        <x:v>H</x:v>
      </x:c>
      <x:c r="I206" s="22" t="str">
        <x:v>电池是储能不是一次能源；初次充电和充放效率另计。</x:v>
      </x:c>
      <x:c r="J206" s="22" t="str">
        <x:v>https://www.sandia.gov/app/uploads/sites/163/2021/09/SAND2014-17462.pdf</x:v>
      </x:c>
    </x:row>
    <x:row r="207" ht="40" customHeight="1">
      <x:c r="A207" s="22" t="str">
        <x:v>E09</x:v>
      </x:c>
      <x:c r="B207" s="22" t="str">
        <x:v>镍铁蓄电池模块</x:v>
      </x:c>
      <x:c r="C207" s="22" t="str">
        <x:v>M_PE</x:v>
      </x:c>
      <x:c r="D207" s="30" t="n">
        <x:v>2</x:v>
      </x:c>
      <x:c r="E207" s="30" t="n">
        <x:v>1</x:v>
      </x:c>
      <x:c r="F207" s="31" t="n">
        <x:f>D207/E207</x:f>
        <x:v>2</x:v>
      </x:c>
      <x:c r="G207" s="22" t="str">
        <x:v>kg</x:v>
      </x:c>
      <x:c r="H207" s="22" t="str">
        <x:v>H</x:v>
      </x:c>
      <x:c r="I207" s="22" t="str">
        <x:v>电池是储能不是一次能源；初次充电和充放效率另计。</x:v>
      </x:c>
      <x:c r="J207" s="22" t="str">
        <x:v>https://www.sandia.gov/app/uploads/sites/163/2021/09/SAND2014-17462.pdf</x:v>
      </x:c>
    </x:row>
    <x:row r="208" ht="40" customHeight="1">
      <x:c r="A208" s="22" t="str">
        <x:v>E09</x:v>
      </x:c>
      <x:c r="B208" s="22" t="str">
        <x:v>镍铁蓄电池模块</x:v>
      </x:c>
      <x:c r="C208" s="22" t="str">
        <x:v>M_CU</x:v>
      </x:c>
      <x:c r="D208" s="30" t="n">
        <x:v>0.5</x:v>
      </x:c>
      <x:c r="E208" s="30" t="n">
        <x:v>1</x:v>
      </x:c>
      <x:c r="F208" s="31" t="n">
        <x:f>D208/E208</x:f>
        <x:v>0.5</x:v>
      </x:c>
      <x:c r="G208" s="22" t="str">
        <x:v>kg</x:v>
      </x:c>
      <x:c r="H208" s="22" t="str">
        <x:v>H</x:v>
      </x:c>
      <x:c r="I208" s="22" t="str">
        <x:v>电池是储能不是一次能源；初次充电和充放效率另计。</x:v>
      </x:c>
      <x:c r="J208" s="22" t="str">
        <x:v>https://www.sandia.gov/app/uploads/sites/163/2021/09/SAND2014-17462.pdf</x:v>
      </x:c>
    </x:row>
    <x:row r="209" ht="40" customHeight="1">
      <x:c r="A209" s="22" t="str">
        <x:v>E09</x:v>
      </x:c>
      <x:c r="B209" s="22" t="str">
        <x:v>镍铁蓄电池模块</x:v>
      </x:c>
      <x:c r="C209" s="22" t="str">
        <x:v>X03</x:v>
      </x:c>
      <x:c r="D209" s="30" t="n">
        <x:v>0.5</x:v>
      </x:c>
      <x:c r="E209" s="30" t="n">
        <x:v>1</x:v>
      </x:c>
      <x:c r="F209" s="31" t="n">
        <x:f>D209/E209</x:f>
        <x:v>0.5</x:v>
      </x:c>
      <x:c r="G209" s="22" t="str">
        <x:v>kg</x:v>
      </x:c>
      <x:c r="H209" s="22" t="str">
        <x:v>H</x:v>
      </x:c>
      <x:c r="I209" s="22" t="str">
        <x:v>电池是储能不是一次能源；初次充电和充放效率另计。</x:v>
      </x:c>
      <x:c r="J209" s="22" t="str">
        <x:v>https://www.sandia.gov/app/uploads/sites/163/2021/09/SAND2014-17462.pdf</x:v>
      </x:c>
    </x:row>
    <x:row r="210" ht="40" customHeight="1">
      <x:c r="A210" s="22" t="str">
        <x:v>E10</x:v>
      </x:c>
      <x:c r="B210" s="22" t="str">
        <x:v>甲烷—氧气发电机套件</x:v>
      </x:c>
      <x:c r="C210" s="22" t="str">
        <x:v>M_ST</x:v>
      </x:c>
      <x:c r="D210" s="30" t="n">
        <x:v>60</x:v>
      </x:c>
      <x:c r="E210" s="30" t="n">
        <x:v>1</x:v>
      </x:c>
      <x:c r="F210" s="31" t="n">
        <x:f>D210/E210</x:f>
        <x:v>60</x:v>
      </x:c>
      <x:c r="G210" s="22" t="str">
        <x:v>kg</x:v>
      </x:c>
      <x:c r="H210" s="22" t="str">
        <x:v>H</x:v>
      </x:c>
      <x:c r="I210" s="22" t="str">
        <x:v>消耗甲烷与氧；不产生净能源。</x:v>
      </x:c>
      <x:c r="J210" s="22" t="str">
        <x:v>本回答设定；不是文献实测</x:v>
      </x:c>
    </x:row>
    <x:row r="211" ht="40" customHeight="1">
      <x:c r="A211" s="22" t="str">
        <x:v>E10</x:v>
      </x:c>
      <x:c r="B211" s="22" t="str">
        <x:v>甲烷—氧气发电机套件</x:v>
      </x:c>
      <x:c r="C211" s="22" t="str">
        <x:v>M_CU</x:v>
      </x:c>
      <x:c r="D211" s="30" t="n">
        <x:v>4</x:v>
      </x:c>
      <x:c r="E211" s="30" t="n">
        <x:v>1</x:v>
      </x:c>
      <x:c r="F211" s="31" t="n">
        <x:f>D211/E211</x:f>
        <x:v>4</x:v>
      </x:c>
      <x:c r="G211" s="22" t="str">
        <x:v>kg</x:v>
      </x:c>
      <x:c r="H211" s="22" t="str">
        <x:v>H</x:v>
      </x:c>
      <x:c r="I211" s="22" t="str">
        <x:v>消耗甲烷与氧；不产生净能源。</x:v>
      </x:c>
      <x:c r="J211" s="22" t="str">
        <x:v>本回答设定；不是文献实测</x:v>
      </x:c>
    </x:row>
    <x:row r="212" ht="40" customHeight="1">
      <x:c r="A212" s="22" t="str">
        <x:v>E10</x:v>
      </x:c>
      <x:c r="B212" s="22" t="str">
        <x:v>甲烷—氧气发电机套件</x:v>
      </x:c>
      <x:c r="C212" s="22" t="str">
        <x:v>M_CER</x:v>
      </x:c>
      <x:c r="D212" s="30" t="n">
        <x:v>1</x:v>
      </x:c>
      <x:c r="E212" s="30" t="n">
        <x:v>1</x:v>
      </x:c>
      <x:c r="F212" s="31" t="n">
        <x:f>D212/E212</x:f>
        <x:v>1</x:v>
      </x:c>
      <x:c r="G212" s="22" t="str">
        <x:v>kg</x:v>
      </x:c>
      <x:c r="H212" s="22" t="str">
        <x:v>H</x:v>
      </x:c>
      <x:c r="I212" s="22" t="str">
        <x:v>消耗甲烷与氧；不产生净能源。</x:v>
      </x:c>
      <x:c r="J212" s="22" t="str">
        <x:v>本回答设定；不是文献实测</x:v>
      </x:c>
    </x:row>
    <x:row r="213" ht="40" customHeight="1">
      <x:c r="A213" s="22" t="str">
        <x:v>E10</x:v>
      </x:c>
      <x:c r="B213" s="22" t="str">
        <x:v>甲烷—氧气发电机套件</x:v>
      </x:c>
      <x:c r="C213" s="22" t="str">
        <x:v>M_SEAL</x:v>
      </x:c>
      <x:c r="D213" s="30" t="n">
        <x:v>0.3</x:v>
      </x:c>
      <x:c r="E213" s="30" t="n">
        <x:v>1</x:v>
      </x:c>
      <x:c r="F213" s="31" t="n">
        <x:f>D213/E213</x:f>
        <x:v>0.3</x:v>
      </x:c>
      <x:c r="G213" s="22" t="str">
        <x:v>kg</x:v>
      </x:c>
      <x:c r="H213" s="22" t="str">
        <x:v>H</x:v>
      </x:c>
      <x:c r="I213" s="22" t="str">
        <x:v>消耗甲烷与氧；不产生净能源。</x:v>
      </x:c>
      <x:c r="J213" s="22" t="str">
        <x:v>本回答设定；不是文献实测</x:v>
      </x:c>
    </x:row>
    <x:row r="214" ht="40" customHeight="1">
      <x:c r="A214" s="22" t="str">
        <x:v>E10</x:v>
      </x:c>
      <x:c r="B214" s="22" t="str">
        <x:v>甲烷—氧气发电机套件</x:v>
      </x:c>
      <x:c r="C214" s="22" t="str">
        <x:v>X01</x:v>
      </x:c>
      <x:c r="D214" s="30" t="n">
        <x:v>1</x:v>
      </x:c>
      <x:c r="E214" s="30" t="n">
        <x:v>1</x:v>
      </x:c>
      <x:c r="F214" s="31" t="n">
        <x:f>D214/E214</x:f>
        <x:v>1</x:v>
      </x:c>
      <x:c r="G214" s="22" t="str">
        <x:v>kg</x:v>
      </x:c>
      <x:c r="H214" s="22" t="str">
        <x:v>H</x:v>
      </x:c>
      <x:c r="I214" s="22" t="str">
        <x:v>消耗甲烷与氧；不产生净能源。</x:v>
      </x:c>
      <x:c r="J214" s="22" t="str">
        <x:v>本回答设定；不是文献实测</x:v>
      </x:c>
    </x:row>
    <x:row r="215" ht="40" customHeight="1">
      <x:c r="A215" s="22" t="str">
        <x:v>E10</x:v>
      </x:c>
      <x:c r="B215" s="22" t="str">
        <x:v>甲烷—氧气发电机套件</x:v>
      </x:c>
      <x:c r="C215" s="22" t="str">
        <x:v>X02</x:v>
      </x:c>
      <x:c r="D215" s="30" t="n">
        <x:v>2</x:v>
      </x:c>
      <x:c r="E215" s="30" t="n">
        <x:v>1</x:v>
      </x:c>
      <x:c r="F215" s="31" t="n">
        <x:f>D215/E215</x:f>
        <x:v>2</x:v>
      </x:c>
      <x:c r="G215" s="22" t="str">
        <x:v>kg</x:v>
      </x:c>
      <x:c r="H215" s="22" t="str">
        <x:v>H</x:v>
      </x:c>
      <x:c r="I215" s="22" t="str">
        <x:v>消耗甲烷与氧；不产生净能源。</x:v>
      </x:c>
      <x:c r="J215" s="22" t="str">
        <x:v>本回答设定；不是文献实测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bebaf005d2ea4b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7" hidden="0" customWidth="1"/>
    <x:col min="4" max="4" width="18" hidden="0" customWidth="1"/>
    <x:col min="5" max="5" width="30" hidden="0" customWidth="1"/>
    <x:col min="6" max="6" width="16" hidden="0" customWidth="1"/>
  </x:cols>
  <x:sheetData>
    <x:row r="1" ht="34" customHeight="1">
      <x:c r="A1" s="4" t="str">
        <x:v>直接副产出</x:v>
      </x:c>
      <x:c r="B1" s="4"/>
      <x:c r="C1" s="4"/>
      <x:c r="D1" s="4"/>
      <x:c r="E1" s="4"/>
      <x:c r="F1" s="4"/>
    </x:row>
    <x:row r="2" ht="20" customHeight="1">
      <x:c r="A2" s="9" t="str">
        <x:v>这里仅记录副产出；每个工艺还有1单位主产品。合格回收率、内部替用和排放必须由仿真显式处理。</x:v>
      </x:c>
      <x:c r="B2" s="9"/>
      <x:c r="C2" s="9"/>
      <x:c r="D2" s="9"/>
      <x:c r="E2" s="9"/>
      <x:c r="F2" s="9"/>
    </x:row>
    <x:row r="3" ht="20" customHeight="1">
      <x:c r="A3" s="9"/>
      <x:c r="B3" s="9"/>
      <x:c r="C3" s="9"/>
      <x:c r="D3" s="9"/>
      <x:c r="E3" s="9"/>
      <x:c r="F3" s="9"/>
    </x:row>
    <x:row r="5" ht="38" customHeight="1">
      <x:c r="A5" s="15" t="str">
        <x:v>工艺主产品ID</x:v>
      </x:c>
      <x:c r="B5" s="15" t="str">
        <x:v>工艺主产品</x:v>
      </x:c>
      <x:c r="C5" s="15" t="str">
        <x:v>副产品</x:v>
      </x:c>
      <x:c r="D5" s="15" t="str">
        <x:v>单位生成量</x:v>
      </x:c>
      <x:c r="E5" s="15" t="str">
        <x:v>单位</x:v>
      </x:c>
      <x:c r="F5" s="15" t="str">
        <x:v>等级</x:v>
      </x:c>
    </x:row>
    <x:row r="6" ht="40" customHeight="1">
      <x:c r="A6" s="22" t="str">
        <x:v>M_H2</x:v>
      </x:c>
      <x:c r="B6" s="22" t="str">
        <x:v>氢气</x:v>
      </x:c>
      <x:c r="C6" s="22" t="str">
        <x:v>O2</x:v>
      </x:c>
      <x:c r="D6" s="31" t="n">
        <x:v>7.936011904761905</x:v>
      </x:c>
      <x:c r="E6" s="22" t="str">
        <x:v>kg / 主产品单位</x:v>
      </x:c>
      <x:c r="F6" s="22" t="str">
        <x:v>T</x:v>
      </x:c>
    </x:row>
    <x:row r="7" ht="40" customHeight="1">
      <x:c r="A7" s="22" t="str">
        <x:v>M_O2</x:v>
      </x:c>
      <x:c r="B7" s="22" t="str">
        <x:v>氧气</x:v>
      </x:c>
      <x:c r="C7" s="22" t="str">
        <x:v>CO</x:v>
      </x:c>
      <x:c r="D7" s="31" t="n">
        <x:v>1.750734420901306</x:v>
      </x:c>
      <x:c r="E7" s="22" t="str">
        <x:v>kg / 主产品单位</x:v>
      </x:c>
      <x:c r="F7" s="22" t="str">
        <x:v>T</x:v>
      </x:c>
    </x:row>
    <x:row r="8" ht="40" customHeight="1">
      <x:c r="A8" s="22" t="str">
        <x:v>M_C</x:v>
      </x:c>
      <x:c r="B8" s="22" t="str">
        <x:v>工艺碳</x:v>
      </x:c>
      <x:c r="C8" s="22" t="str">
        <x:v>H2O</x:v>
      </x:c>
      <x:c r="D8" s="31" t="n">
        <x:v>2.99975022895679</x:v>
      </x:c>
      <x:c r="E8" s="22" t="str">
        <x:v>kg / 主产品单位</x:v>
      </x:c>
      <x:c r="F8" s="22" t="str">
        <x:v>T</x:v>
      </x:c>
    </x:row>
    <x:row r="9" ht="40" customHeight="1">
      <x:c r="A9" s="22" t="str">
        <x:v>M_FE</x:v>
      </x:c>
      <x:c r="B9" s="22" t="str">
        <x:v>还原铁</x:v>
      </x:c>
      <x:c r="C9" s="22" t="str">
        <x:v>H2O</x:v>
      </x:c>
      <x:c r="D9" s="31" t="n">
        <x:v>0.48388396454472204</x:v>
      </x:c>
      <x:c r="E9" s="22" t="str">
        <x:v>kg / 主产品单位</x:v>
      </x:c>
      <x:c r="F9" s="22" t="str">
        <x:v>T</x:v>
      </x:c>
    </x:row>
    <x:row r="10" ht="40" customHeight="1">
      <x:c r="A10" s="22" t="str">
        <x:v>M_CU</x:v>
      </x:c>
      <x:c r="B10" s="22" t="str">
        <x:v>金属铜</x:v>
      </x:c>
      <x:c r="C10" s="22" t="str">
        <x:v>H2O</x:v>
      </x:c>
      <x:c r="D10" s="31" t="n">
        <x:v>0.2834954206401662</x:v>
      </x:c>
      <x:c r="E10" s="22" t="str">
        <x:v>kg / 主产品单位</x:v>
      </x:c>
      <x:c r="F10" s="22" t="str">
        <x:v>T/U</x:v>
      </x:c>
    </x:row>
    <x:row r="11" ht="40" customHeight="1">
      <x:c r="A11" s="22" t="str">
        <x:v>M_NI</x:v>
      </x:c>
      <x:c r="B11" s="22" t="str">
        <x:v>金属镍</x:v>
      </x:c>
      <x:c r="C11" s="22" t="str">
        <x:v>H2O</x:v>
      </x:c>
      <x:c r="D11" s="31" t="n">
        <x:v>0.3069360911863425</x:v>
      </x:c>
      <x:c r="E11" s="22" t="str">
        <x:v>kg / 主产品单位</x:v>
      </x:c>
      <x:c r="F11" s="22" t="str">
        <x:v>T/U</x:v>
      </x:c>
    </x:row>
    <x:row r="12" ht="40" customHeight="1">
      <x:c r="A12" s="22" t="str">
        <x:v>M_AL</x:v>
      </x:c>
      <x:c r="B12" s="22" t="str">
        <x:v>金属铝</x:v>
      </x:c>
      <x:c r="C12" s="22" t="str">
        <x:v>CO2</x:v>
      </x:c>
      <x:c r="D12" s="31" t="n">
        <x:v>1.2232877473871469</x:v>
      </x:c>
      <x:c r="E12" s="22" t="str">
        <x:v>kg / 主产品单位</x:v>
      </x:c>
      <x:c r="F12" s="22" t="str">
        <x:v>T/U</x:v>
      </x:c>
    </x:row>
    <x:row r="13" ht="40" customHeight="1">
      <x:c r="A13" s="22" t="str">
        <x:v>M_AG</x:v>
      </x:c>
      <x:c r="B13" s="22" t="str">
        <x:v>金属银</x:v>
      </x:c>
      <x:c r="C13" s="22" t="str">
        <x:v>SO2</x:v>
      </x:c>
      <x:c r="D13" s="31" t="n">
        <x:v>0.2969271759424928</x:v>
      </x:c>
      <x:c r="E13" s="22" t="str">
        <x:v>kg / 主产品单位</x:v>
      </x:c>
      <x:c r="F13" s="22" t="str">
        <x:v>T/U</x:v>
      </x:c>
    </x:row>
    <x:row r="14" ht="40" customHeight="1">
      <x:c r="A14" s="22" t="str">
        <x:v>M_SN</x:v>
      </x:c>
      <x:c r="B14" s="22" t="str">
        <x:v>金属锡</x:v>
      </x:c>
      <x:c r="C14" s="22" t="str">
        <x:v>H2O</x:v>
      </x:c>
      <x:c r="D14" s="31" t="n">
        <x:v>0.30351276219358103</x:v>
      </x:c>
      <x:c r="E14" s="22" t="str">
        <x:v>kg / 主产品单位</x:v>
      </x:c>
      <x:c r="F14" s="22" t="str">
        <x:v>T/U</x:v>
      </x:c>
    </x:row>
    <x:row r="15" ht="40" customHeight="1">
      <x:c r="A15" s="22" t="str">
        <x:v>M_SI</x:v>
      </x:c>
      <x:c r="B15" s="22" t="str">
        <x:v>工业硅</x:v>
      </x:c>
      <x:c r="C15" s="22" t="str">
        <x:v>CO</x:v>
      </x:c>
      <x:c r="D15" s="31" t="n">
        <x:v>1.9946590706782978</x:v>
      </x:c>
      <x:c r="E15" s="22" t="str">
        <x:v>kg / 主产品单位</x:v>
      </x:c>
      <x:c r="F15" s="22" t="str">
        <x:v>T</x:v>
      </x:c>
    </x:row>
    <x:row r="16" ht="40" customHeight="1">
      <x:c r="A16" s="22" t="str">
        <x:v>M_MEOH</x:v>
      </x:c>
      <x:c r="B16" s="22" t="str">
        <x:v>甲醇</x:v>
      </x:c>
      <x:c r="C16" s="22" t="str">
        <x:v>H2O</x:v>
      </x:c>
      <x:c r="D16" s="31" t="n">
        <x:v>0.5622308220460646</x:v>
      </x:c>
      <x:c r="E16" s="22" t="str">
        <x:v>kg / 主产品单位</x:v>
      </x:c>
      <x:c r="F16" s="22" t="str">
        <x:v>T</x:v>
      </x:c>
    </x:row>
    <x:row r="17" ht="40" customHeight="1">
      <x:c r="A17" s="22" t="str">
        <x:v>M_PE</x:v>
      </x:c>
      <x:c r="B17" s="22" t="str">
        <x:v>聚乙烯</x:v>
      </x:c>
      <x:c r="C17" s="22" t="str">
        <x:v>H2O</x:v>
      </x:c>
      <x:c r="D17" s="31" t="n">
        <x:v>1.284308832964996</x:v>
      </x:c>
      <x:c r="E17" s="22" t="str">
        <x:v>kg / 主产品单位</x:v>
      </x:c>
      <x:c r="F17" s="22" t="str">
        <x:v>T/H</x:v>
      </x:c>
    </x:row>
    <x:row r="18" ht="40" customHeight="1">
      <x:c r="A18" s="22" t="str">
        <x:v>M_PDMS</x:v>
      </x:c>
      <x:c r="B18" s="22" t="str">
        <x:v>硅橡胶基体PDMS</x:v>
      </x:c>
      <x:c r="C18" s="22" t="str">
        <x:v>H2O</x:v>
      </x:c>
      <x:c r="D18" s="31" t="n">
        <x:v>0.24294036734363625</x:v>
      </x:c>
      <x:c r="E18" s="22" t="str">
        <x:v>kg / 主产品单位</x:v>
      </x:c>
      <x:c r="F18" s="22" t="str">
        <x:v>T/H</x:v>
      </x:c>
    </x:row>
    <x:row r="19" ht="40" customHeight="1">
      <x:c r="A19" s="22" t="str">
        <x:v>M_LUB</x:v>
      </x:c>
      <x:c r="B19" s="22" t="str">
        <x:v>合成润滑基料</x:v>
      </x:c>
      <x:c r="C19" s="22" t="str">
        <x:v>H2O</x:v>
      </x:c>
      <x:c r="D19" s="31" t="n">
        <x:v>1.284308832964996</x:v>
      </x:c>
      <x:c r="E19" s="22" t="str">
        <x:v>kg / 主产品单位</x:v>
      </x:c>
      <x:c r="F19" s="22" t="str">
        <x:v>H/T</x:v>
      </x:c>
    </x:row>
    <x:row r="20" ht="40" customHeight="1">
      <x:c r="A20" s="22" t="str">
        <x:v>M_HNO3</x:v>
      </x:c>
      <x:c r="B20" s="22" t="str">
        <x:v>硝酸当量</x:v>
      </x:c>
      <x:c r="C20" s="22" t="str">
        <x:v>H2O</x:v>
      </x:c>
      <x:c r="D20" s="31" t="n">
        <x:v>0.28589792420491333</x:v>
      </x:c>
      <x:c r="E20" s="22" t="str">
        <x:v>kg / 主产品单位</x:v>
      </x:c>
      <x:c r="F20" s="22" t="str">
        <x:v>T</x:v>
      </x:c>
    </x:row>
    <x:row r="21" ht="40" customHeight="1">
      <x:c r="A21" s="22" t="str">
        <x:v>M_PACID</x:v>
      </x:c>
      <x:c r="B21" s="22" t="str">
        <x:v>磷酸当量</x:v>
      </x:c>
      <x:c r="C21" s="22" t="str">
        <x:v>gypsum</x:v>
      </x:c>
      <x:c r="D21" s="31" t="n">
        <x:v>2.9281384574565794</x:v>
      </x:c>
      <x:c r="E21" s="22" t="str">
        <x:v>kg / 主产品单位</x:v>
      </x:c>
      <x:c r="F21" s="22" t="str">
        <x:v>T</x:v>
      </x:c>
    </x:row>
    <x:row r="22" ht="40" customHeight="1">
      <x:c r="A22" s="22" t="str">
        <x:v>M_PACID</x:v>
      </x:c>
      <x:c r="B22" s="22" t="str">
        <x:v>磷酸当量</x:v>
      </x:c>
      <x:c r="C22" s="22" t="str">
        <x:v>HF</x:v>
      </x:c>
      <x:c r="D22" s="31" t="n">
        <x:v>0.06805178548346498</x:v>
      </x:c>
      <x:c r="E22" s="22" t="str">
        <x:v>kg / 主产品单位</x:v>
      </x:c>
      <x:c r="F22" s="22" t="str">
        <x:v>T</x:v>
      </x:c>
    </x:row>
    <x:row r="23" ht="40" customHeight="1">
      <x:c r="A23" s="22" t="str">
        <x:v>M_KOH</x:v>
      </x:c>
      <x:c r="B23" s="22" t="str">
        <x:v>氢氧化钾</x:v>
      </x:c>
      <x:c r="C23" s="22" t="str">
        <x:v>Cl2</x:v>
      </x:c>
      <x:c r="D23" s="31" t="n">
        <x:v>0.6318509936725782</x:v>
      </x:c>
      <x:c r="E23" s="22" t="str">
        <x:v>kg / 主产品单位</x:v>
      </x:c>
      <x:c r="F23" s="22" t="str">
        <x:v>T/U</x:v>
      </x:c>
    </x:row>
    <x:row r="24" ht="40" customHeight="1">
      <x:c r="A24" s="22" t="str">
        <x:v>M_KOH</x:v>
      </x:c>
      <x:c r="B24" s="22" t="str">
        <x:v>氢氧化钾</x:v>
      </x:c>
      <x:c r="C24" s="22" t="str">
        <x:v>H2</x:v>
      </x:c>
      <x:c r="D24" s="31" t="n">
        <x:v>0.017966313162819714</x:v>
      </x:c>
      <x:c r="E24" s="22" t="str">
        <x:v>kg / 主产品单位</x:v>
      </x:c>
      <x:c r="F24" s="22" t="str">
        <x:v>T/U</x:v>
      </x:c>
    </x:row>
    <x:row r="25" ht="40" customHeight="1">
      <x:c r="A25" s="22" t="str">
        <x:v>A02</x:v>
      </x:c>
      <x:c r="B25" s="22" t="str">
        <x:v>无水硝酸钙肥料当量</x:v>
      </x:c>
      <x:c r="C25" s="22" t="str">
        <x:v>CO2</x:v>
      </x:c>
      <x:c r="D25" s="31" t="n">
        <x:v>0.26820691588557216</x:v>
      </x:c>
      <x:c r="E25" s="22" t="str">
        <x:v>kg / 主产品单位</x:v>
      </x:c>
      <x:c r="F25" s="22" t="str">
        <x:v>T</x:v>
      </x:c>
    </x:row>
    <x:row r="26" ht="40" customHeight="1">
      <x:c r="A26" s="22" t="str">
        <x:v>A02</x:v>
      </x:c>
      <x:c r="B26" s="22" t="str">
        <x:v>无水硝酸钙肥料当量</x:v>
      </x:c>
      <x:c r="C26" s="22" t="str">
        <x:v>H2O</x:v>
      </x:c>
      <x:c r="D26" s="31" t="n">
        <x:v>0.1097899881769316</x:v>
      </x:c>
      <x:c r="E26" s="22" t="str">
        <x:v>kg / 主产品单位</x:v>
      </x:c>
      <x:c r="F26" s="22" t="str">
        <x:v>T</x:v>
      </x:c>
    </x:row>
    <x:row r="27" ht="40" customHeight="1">
      <x:c r="A27" s="22" t="str">
        <x:v>A04</x:v>
      </x:c>
      <x:c r="B27" s="22" t="str">
        <x:v>硫酸钾肥料</x:v>
      </x:c>
      <x:c r="C27" s="22" t="str">
        <x:v>HCl</x:v>
      </x:c>
      <x:c r="D27" s="31" t="n">
        <x:v>0.41845143814705144</x:v>
      </x:c>
      <x:c r="E27" s="22" t="str">
        <x:v>kg / 主产品单位</x:v>
      </x:c>
      <x:c r="F27" s="22" t="str">
        <x:v>T/U</x:v>
      </x:c>
    </x:row>
    <x:row r="28" ht="40" customHeight="1">
      <x:c r="A28" s="22" t="str">
        <x:v>E06</x:v>
      </x:c>
      <x:c r="B28" s="22" t="str">
        <x:v>合成甲烷</x:v>
      </x:c>
      <x:c r="C28" s="22" t="str">
        <x:v>H2O</x:v>
      </x:c>
      <x:c r="D28" s="31" t="n">
        <x:v>2.2458393068628064</x:v>
      </x:c>
      <x:c r="E28" s="22" t="str">
        <x:v>kg / 主产品单位</x:v>
      </x:c>
      <x:c r="F28" s="22" t="str">
        <x:v>T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235fa42c1e0f4f5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29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</x:cols>
  <x:sheetData>
    <x:row r="1" ht="34" customHeight="1">
      <x:c r="A1" s="4" t="str">
        <x:v>主料系数展开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2" ht="20" customHeight="1">
      <x:c r="A2" s="9" t="str">
        <x:v>只供审计：通过直接配方递归累加。每列为一个原料/外部输入。毛投入未扣除任何副产品。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</x:row>
    <x:row r="5" ht="38" customHeight="1">
      <x:c r="A5" s="15" t="str">
        <x:v>物料ID</x:v>
      </x:c>
      <x:c r="B5" s="15" t="str">
        <x:v>物料</x:v>
      </x:c>
      <x:c r="C5" s="15" t="str">
        <x:v>一单位</x:v>
      </x:c>
      <x:c r="D5" s="15" t="str">
        <x:v>R01</x:v>
      </x:c>
      <x:c r="E5" s="15" t="str">
        <x:v>R02</x:v>
      </x:c>
      <x:c r="F5" s="15" t="str">
        <x:v>R03</x:v>
      </x:c>
      <x:c r="G5" s="15" t="str">
        <x:v>R04</x:v>
      </x:c>
      <x:c r="H5" s="15" t="str">
        <x:v>R05</x:v>
      </x:c>
      <x:c r="I5" s="15" t="str">
        <x:v>R06</x:v>
      </x:c>
      <x:c r="J5" s="15" t="str">
        <x:v>R07</x:v>
      </x:c>
      <x:c r="K5" s="15" t="str">
        <x:v>R08</x:v>
      </x:c>
      <x:c r="L5" s="15" t="str">
        <x:v>R09</x:v>
      </x:c>
      <x:c r="M5" s="15" t="str">
        <x:v>R10</x:v>
      </x:c>
      <x:c r="N5" s="15" t="str">
        <x:v>R11</x:v>
      </x:c>
      <x:c r="O5" s="15" t="str">
        <x:v>R12</x:v>
      </x:c>
      <x:c r="P5" s="15" t="str">
        <x:v>R13</x:v>
      </x:c>
      <x:c r="Q5" s="15" t="str">
        <x:v>R14</x:v>
      </x:c>
      <x:c r="R5" s="15" t="str">
        <x:v>R15</x:v>
      </x:c>
      <x:c r="S5" s="15" t="str">
        <x:v>R16</x:v>
      </x:c>
      <x:c r="T5" s="15" t="str">
        <x:v>R17</x:v>
      </x:c>
      <x:c r="U5" s="15" t="str">
        <x:v>R18</x:v>
      </x:c>
      <x:c r="V5" s="15" t="str">
        <x:v>R19</x:v>
      </x:c>
      <x:c r="W5" s="15" t="str">
        <x:v>R20</x:v>
      </x:c>
      <x:c r="X5" s="15" t="str">
        <x:v>R21</x:v>
      </x:c>
      <x:c r="Y5" s="15" t="str">
        <x:v>X01</x:v>
      </x:c>
      <x:c r="Z5" s="15" t="str">
        <x:v>X02</x:v>
      </x:c>
      <x:c r="AA5" s="15" t="str">
        <x:v>X03</x:v>
      </x:c>
      <x:c r="AB5" s="15" t="str">
        <x:v>X04</x:v>
      </x:c>
      <x:c r="AC5" s="15" t="str">
        <x:v>X05</x:v>
      </x:c>
    </x:row>
    <x:row r="6" ht="40" customHeight="1">
      <x:c r="A6" s="22" t="str">
        <x:v>R01</x:v>
      </x:c>
      <x:c r="B6" s="22" t="str">
        <x:v>水冰中H₂O</x:v>
      </x:c>
      <x:c r="C6" s="22" t="str">
        <x:v>kg有效组分当量</x:v>
      </x:c>
      <x:c r="D6" s="34" t="n">
        <x:f>1</x:f>
        <x:v>1</x:v>
      </x:c>
      <x:c r="E6" s="34" t="n">
        <x:f>0</x:f>
        <x:v>0</x:v>
      </x:c>
      <x:c r="F6" s="34" t="n">
        <x:f>0</x:f>
        <x:v>0</x:v>
      </x:c>
      <x:c r="G6" s="34" t="n">
        <x:f>0</x:f>
        <x:v>0</x:v>
      </x:c>
      <x:c r="H6" s="34" t="n">
        <x:f>0</x:f>
        <x:v>0</x:v>
      </x:c>
      <x:c r="I6" s="34" t="n">
        <x:f>0</x:f>
        <x:v>0</x:v>
      </x:c>
      <x:c r="J6" s="34" t="n">
        <x:f>0</x:f>
        <x:v>0</x:v>
      </x:c>
      <x:c r="K6" s="34" t="n">
        <x:f>0</x:f>
        <x:v>0</x:v>
      </x:c>
      <x:c r="L6" s="34" t="n">
        <x:f>0</x:f>
        <x:v>0</x:v>
      </x:c>
      <x:c r="M6" s="34" t="n">
        <x:f>0</x:f>
        <x:v>0</x:v>
      </x:c>
      <x:c r="N6" s="34" t="n">
        <x:f>0</x:f>
        <x:v>0</x:v>
      </x:c>
      <x:c r="O6" s="34" t="n">
        <x:f>0</x:f>
        <x:v>0</x:v>
      </x:c>
      <x:c r="P6" s="34" t="n">
        <x:f>0</x:f>
        <x:v>0</x:v>
      </x:c>
      <x:c r="Q6" s="34" t="n">
        <x:f>0</x:f>
        <x:v>0</x:v>
      </x:c>
      <x:c r="R6" s="34" t="n">
        <x:f>0</x:f>
        <x:v>0</x:v>
      </x:c>
      <x:c r="S6" s="34" t="n">
        <x:f>0</x:f>
        <x:v>0</x:v>
      </x:c>
      <x:c r="T6" s="34" t="n">
        <x:f>0</x:f>
        <x:v>0</x:v>
      </x:c>
      <x:c r="U6" s="34" t="n">
        <x:f>0</x:f>
        <x:v>0</x:v>
      </x:c>
      <x:c r="V6" s="34" t="n">
        <x:f>0</x:f>
        <x:v>0</x:v>
      </x:c>
      <x:c r="W6" s="34" t="n">
        <x:f>0</x:f>
        <x:v>0</x:v>
      </x:c>
      <x:c r="X6" s="34" t="n">
        <x:f>0</x:f>
        <x:v>0</x:v>
      </x:c>
      <x:c r="Y6" s="34" t="n">
        <x:f>0</x:f>
        <x:v>0</x:v>
      </x:c>
      <x:c r="Z6" s="34" t="n">
        <x:f>0</x:f>
        <x:v>0</x:v>
      </x:c>
      <x:c r="AA6" s="34" t="n">
        <x:f>0</x:f>
        <x:v>0</x:v>
      </x:c>
      <x:c r="AB6" s="34" t="n">
        <x:f>0</x:f>
        <x:v>0</x:v>
      </x:c>
      <x:c r="AC6" s="34" t="n">
        <x:f>0</x:f>
        <x:v>0</x:v>
      </x:c>
    </x:row>
    <x:row r="7" ht="40" customHeight="1">
      <x:c r="A7" s="22" t="str">
        <x:v>R02</x:v>
      </x:c>
      <x:c r="B7" s="22" t="str">
        <x:v>大气CO₂组分</x:v>
      </x:c>
      <x:c r="C7" s="22" t="str">
        <x:v>kg有效组分当量</x:v>
      </x:c>
      <x:c r="D7" s="34" t="n">
        <x:f>0</x:f>
        <x:v>0</x:v>
      </x:c>
      <x:c r="E7" s="34" t="n">
        <x:f>1</x:f>
        <x:v>1</x:v>
      </x:c>
      <x:c r="F7" s="34" t="n">
        <x:f>0</x:f>
        <x:v>0</x:v>
      </x:c>
      <x:c r="G7" s="34" t="n">
        <x:f>0</x:f>
        <x:v>0</x:v>
      </x:c>
      <x:c r="H7" s="34" t="n">
        <x:f>0</x:f>
        <x:v>0</x:v>
      </x:c>
      <x:c r="I7" s="34" t="n">
        <x:f>0</x:f>
        <x:v>0</x:v>
      </x:c>
      <x:c r="J7" s="34" t="n">
        <x:f>0</x:f>
        <x:v>0</x:v>
      </x:c>
      <x:c r="K7" s="34" t="n">
        <x:f>0</x:f>
        <x:v>0</x:v>
      </x:c>
      <x:c r="L7" s="34" t="n">
        <x:f>0</x:f>
        <x:v>0</x:v>
      </x:c>
      <x:c r="M7" s="34" t="n">
        <x:f>0</x:f>
        <x:v>0</x:v>
      </x:c>
      <x:c r="N7" s="34" t="n">
        <x:f>0</x:f>
        <x:v>0</x:v>
      </x:c>
      <x:c r="O7" s="34" t="n">
        <x:f>0</x:f>
        <x:v>0</x:v>
      </x:c>
      <x:c r="P7" s="34" t="n">
        <x:f>0</x:f>
        <x:v>0</x:v>
      </x:c>
      <x:c r="Q7" s="34" t="n">
        <x:f>0</x:f>
        <x:v>0</x:v>
      </x:c>
      <x:c r="R7" s="34" t="n">
        <x:f>0</x:f>
        <x:v>0</x:v>
      </x:c>
      <x:c r="S7" s="34" t="n">
        <x:f>0</x:f>
        <x:v>0</x:v>
      </x:c>
      <x:c r="T7" s="34" t="n">
        <x:f>0</x:f>
        <x:v>0</x:v>
      </x:c>
      <x:c r="U7" s="34" t="n">
        <x:f>0</x:f>
        <x:v>0</x:v>
      </x:c>
      <x:c r="V7" s="34" t="n">
        <x:f>0</x:f>
        <x:v>0</x:v>
      </x:c>
      <x:c r="W7" s="34" t="n">
        <x:f>0</x:f>
        <x:v>0</x:v>
      </x:c>
      <x:c r="X7" s="34" t="n">
        <x:f>0</x:f>
        <x:v>0</x:v>
      </x:c>
      <x:c r="Y7" s="34" t="n">
        <x:f>0</x:f>
        <x:v>0</x:v>
      </x:c>
      <x:c r="Z7" s="34" t="n">
        <x:f>0</x:f>
        <x:v>0</x:v>
      </x:c>
      <x:c r="AA7" s="34" t="n">
        <x:f>0</x:f>
        <x:v>0</x:v>
      </x:c>
      <x:c r="AB7" s="34" t="n">
        <x:f>0</x:f>
        <x:v>0</x:v>
      </x:c>
      <x:c r="AC7" s="34" t="n">
        <x:f>0</x:f>
        <x:v>0</x:v>
      </x:c>
    </x:row>
    <x:row r="8" ht="40" customHeight="1">
      <x:c r="A8" s="22" t="str">
        <x:v>R03</x:v>
      </x:c>
      <x:c r="B8" s="22" t="str">
        <x:v>大气N₂组分</x:v>
      </x:c>
      <x:c r="C8" s="22" t="str">
        <x:v>kg有效组分当量</x:v>
      </x:c>
      <x:c r="D8" s="34" t="n">
        <x:f>0</x:f>
        <x:v>0</x:v>
      </x:c>
      <x:c r="E8" s="34" t="n">
        <x:f>0</x:f>
        <x:v>0</x:v>
      </x:c>
      <x:c r="F8" s="34" t="n">
        <x:f>1</x:f>
        <x:v>1</x:v>
      </x:c>
      <x:c r="G8" s="34" t="n">
        <x:f>0</x:f>
        <x:v>0</x:v>
      </x:c>
      <x:c r="H8" s="34" t="n">
        <x:f>0</x:f>
        <x:v>0</x:v>
      </x:c>
      <x:c r="I8" s="34" t="n">
        <x:f>0</x:f>
        <x:v>0</x:v>
      </x:c>
      <x:c r="J8" s="34" t="n">
        <x:f>0</x:f>
        <x:v>0</x:v>
      </x:c>
      <x:c r="K8" s="34" t="n">
        <x:f>0</x:f>
        <x:v>0</x:v>
      </x:c>
      <x:c r="L8" s="34" t="n">
        <x:f>0</x:f>
        <x:v>0</x:v>
      </x:c>
      <x:c r="M8" s="34" t="n">
        <x:f>0</x:f>
        <x:v>0</x:v>
      </x:c>
      <x:c r="N8" s="34" t="n">
        <x:f>0</x:f>
        <x:v>0</x:v>
      </x:c>
      <x:c r="O8" s="34" t="n">
        <x:f>0</x:f>
        <x:v>0</x:v>
      </x:c>
      <x:c r="P8" s="34" t="n">
        <x:f>0</x:f>
        <x:v>0</x:v>
      </x:c>
      <x:c r="Q8" s="34" t="n">
        <x:f>0</x:f>
        <x:v>0</x:v>
      </x:c>
      <x:c r="R8" s="34" t="n">
        <x:f>0</x:f>
        <x:v>0</x:v>
      </x:c>
      <x:c r="S8" s="34" t="n">
        <x:f>0</x:f>
        <x:v>0</x:v>
      </x:c>
      <x:c r="T8" s="34" t="n">
        <x:f>0</x:f>
        <x:v>0</x:v>
      </x:c>
      <x:c r="U8" s="34" t="n">
        <x:f>0</x:f>
        <x:v>0</x:v>
      </x:c>
      <x:c r="V8" s="34" t="n">
        <x:f>0</x:f>
        <x:v>0</x:v>
      </x:c>
      <x:c r="W8" s="34" t="n">
        <x:f>0</x:f>
        <x:v>0</x:v>
      </x:c>
      <x:c r="X8" s="34" t="n">
        <x:f>0</x:f>
        <x:v>0</x:v>
      </x:c>
      <x:c r="Y8" s="34" t="n">
        <x:f>0</x:f>
        <x:v>0</x:v>
      </x:c>
      <x:c r="Z8" s="34" t="n">
        <x:f>0</x:f>
        <x:v>0</x:v>
      </x:c>
      <x:c r="AA8" s="34" t="n">
        <x:f>0</x:f>
        <x:v>0</x:v>
      </x:c>
      <x:c r="AB8" s="34" t="n">
        <x:f>0</x:f>
        <x:v>0</x:v>
      </x:c>
      <x:c r="AC8" s="34" t="n">
        <x:f>0</x:f>
        <x:v>0</x:v>
      </x:c>
    </x:row>
    <x:row r="9" ht="40" customHeight="1">
      <x:c r="A9" s="22" t="str">
        <x:v>R04</x:v>
      </x:c>
      <x:c r="B9" s="22" t="str">
        <x:v>大气Ar组分</x:v>
      </x:c>
      <x:c r="C9" s="22" t="str">
        <x:v>kg有效组分当量</x:v>
      </x:c>
      <x:c r="D9" s="34" t="n">
        <x:f>0</x:f>
        <x:v>0</x:v>
      </x:c>
      <x:c r="E9" s="34" t="n">
        <x:f>0</x:f>
        <x:v>0</x:v>
      </x:c>
      <x:c r="F9" s="34" t="n">
        <x:f>0</x:f>
        <x:v>0</x:v>
      </x:c>
      <x:c r="G9" s="34" t="n">
        <x:f>1</x:f>
        <x:v>1</x:v>
      </x:c>
      <x:c r="H9" s="34" t="n">
        <x:f>0</x:f>
        <x:v>0</x:v>
      </x:c>
      <x:c r="I9" s="34" t="n">
        <x:f>0</x:f>
        <x:v>0</x:v>
      </x:c>
      <x:c r="J9" s="34" t="n">
        <x:f>0</x:f>
        <x:v>0</x:v>
      </x:c>
      <x:c r="K9" s="34" t="n">
        <x:f>0</x:f>
        <x:v>0</x:v>
      </x:c>
      <x:c r="L9" s="34" t="n">
        <x:f>0</x:f>
        <x:v>0</x:v>
      </x:c>
      <x:c r="M9" s="34" t="n">
        <x:f>0</x:f>
        <x:v>0</x:v>
      </x:c>
      <x:c r="N9" s="34" t="n">
        <x:f>0</x:f>
        <x:v>0</x:v>
      </x:c>
      <x:c r="O9" s="34" t="n">
        <x:f>0</x:f>
        <x:v>0</x:v>
      </x:c>
      <x:c r="P9" s="34" t="n">
        <x:f>0</x:f>
        <x:v>0</x:v>
      </x:c>
      <x:c r="Q9" s="34" t="n">
        <x:f>0</x:f>
        <x:v>0</x:v>
      </x:c>
      <x:c r="R9" s="34" t="n">
        <x:f>0</x:f>
        <x:v>0</x:v>
      </x:c>
      <x:c r="S9" s="34" t="n">
        <x:f>0</x:f>
        <x:v>0</x:v>
      </x:c>
      <x:c r="T9" s="34" t="n">
        <x:f>0</x:f>
        <x:v>0</x:v>
      </x:c>
      <x:c r="U9" s="34" t="n">
        <x:f>0</x:f>
        <x:v>0</x:v>
      </x:c>
      <x:c r="V9" s="34" t="n">
        <x:f>0</x:f>
        <x:v>0</x:v>
      </x:c>
      <x:c r="W9" s="34" t="n">
        <x:f>0</x:f>
        <x:v>0</x:v>
      </x:c>
      <x:c r="X9" s="34" t="n">
        <x:f>0</x:f>
        <x:v>0</x:v>
      </x:c>
      <x:c r="Y9" s="34" t="n">
        <x:f>0</x:f>
        <x:v>0</x:v>
      </x:c>
      <x:c r="Z9" s="34" t="n">
        <x:f>0</x:f>
        <x:v>0</x:v>
      </x:c>
      <x:c r="AA9" s="34" t="n">
        <x:f>0</x:f>
        <x:v>0</x:v>
      </x:c>
      <x:c r="AB9" s="34" t="n">
        <x:f>0</x:f>
        <x:v>0</x:v>
      </x:c>
      <x:c r="AC9" s="34" t="n">
        <x:f>0</x:f>
        <x:v>0</x:v>
      </x:c>
    </x:row>
    <x:row r="10" ht="40" customHeight="1">
      <x:c r="A10" s="22" t="str">
        <x:v>R05</x:v>
      </x:c>
      <x:c r="B10" s="22" t="str">
        <x:v>可用玄武质风化层</x:v>
      </x:c>
      <x:c r="C10" s="22" t="str">
        <x:v>kg有效组分当量</x:v>
      </x:c>
      <x:c r="D10" s="34" t="n">
        <x:f>0</x:f>
        <x:v>0</x:v>
      </x:c>
      <x:c r="E10" s="34" t="n">
        <x:f>0</x:f>
        <x:v>0</x:v>
      </x:c>
      <x:c r="F10" s="34" t="n">
        <x:f>0</x:f>
        <x:v>0</x:v>
      </x:c>
      <x:c r="G10" s="34" t="n">
        <x:f>0</x:f>
        <x:v>0</x:v>
      </x:c>
      <x:c r="H10" s="34" t="n">
        <x:f>1</x:f>
        <x:v>1</x:v>
      </x:c>
      <x:c r="I10" s="34" t="n">
        <x:f>0</x:f>
        <x:v>0</x:v>
      </x:c>
      <x:c r="J10" s="34" t="n">
        <x:f>0</x:f>
        <x:v>0</x:v>
      </x:c>
      <x:c r="K10" s="34" t="n">
        <x:f>0</x:f>
        <x:v>0</x:v>
      </x:c>
      <x:c r="L10" s="34" t="n">
        <x:f>0</x:f>
        <x:v>0</x:v>
      </x:c>
      <x:c r="M10" s="34" t="n">
        <x:f>0</x:f>
        <x:v>0</x:v>
      </x:c>
      <x:c r="N10" s="34" t="n">
        <x:f>0</x:f>
        <x:v>0</x:v>
      </x:c>
      <x:c r="O10" s="34" t="n">
        <x:f>0</x:f>
        <x:v>0</x:v>
      </x:c>
      <x:c r="P10" s="34" t="n">
        <x:f>0</x:f>
        <x:v>0</x:v>
      </x:c>
      <x:c r="Q10" s="34" t="n">
        <x:f>0</x:f>
        <x:v>0</x:v>
      </x:c>
      <x:c r="R10" s="34" t="n">
        <x:f>0</x:f>
        <x:v>0</x:v>
      </x:c>
      <x:c r="S10" s="34" t="n">
        <x:f>0</x:f>
        <x:v>0</x:v>
      </x:c>
      <x:c r="T10" s="34" t="n">
        <x:f>0</x:f>
        <x:v>0</x:v>
      </x:c>
      <x:c r="U10" s="34" t="n">
        <x:f>0</x:f>
        <x:v>0</x:v>
      </x:c>
      <x:c r="V10" s="34" t="n">
        <x:f>0</x:f>
        <x:v>0</x:v>
      </x:c>
      <x:c r="W10" s="34" t="n">
        <x:f>0</x:f>
        <x:v>0</x:v>
      </x:c>
      <x:c r="X10" s="34" t="n">
        <x:f>0</x:f>
        <x:v>0</x:v>
      </x:c>
      <x:c r="Y10" s="34" t="n">
        <x:f>0</x:f>
        <x:v>0</x:v>
      </x:c>
      <x:c r="Z10" s="34" t="n">
        <x:f>0</x:f>
        <x:v>0</x:v>
      </x:c>
      <x:c r="AA10" s="34" t="n">
        <x:f>0</x:f>
        <x:v>0</x:v>
      </x:c>
      <x:c r="AB10" s="34" t="n">
        <x:f>0</x:f>
        <x:v>0</x:v>
      </x:c>
      <x:c r="AC10" s="34" t="n">
        <x:f>0</x:f>
        <x:v>0</x:v>
      </x:c>
    </x:row>
    <x:row r="11" ht="40" customHeight="1">
      <x:c r="A11" s="22" t="str">
        <x:v>R06</x:v>
      </x:c>
      <x:c r="B11" s="22" t="str">
        <x:v>富硅原料SiO₂当量</x:v>
      </x:c>
      <x:c r="C11" s="22" t="str">
        <x:v>kg有效组分当量</x:v>
      </x:c>
      <x:c r="D11" s="34" t="n">
        <x:f>0</x:f>
        <x:v>0</x:v>
      </x:c>
      <x:c r="E11" s="34" t="n">
        <x:f>0</x:f>
        <x:v>0</x:v>
      </x:c>
      <x:c r="F11" s="34" t="n">
        <x:f>0</x:f>
        <x:v>0</x:v>
      </x:c>
      <x:c r="G11" s="34" t="n">
        <x:f>0</x:f>
        <x:v>0</x:v>
      </x:c>
      <x:c r="H11" s="34" t="n">
        <x:f>0</x:f>
        <x:v>0</x:v>
      </x:c>
      <x:c r="I11" s="34" t="n">
        <x:f>1</x:f>
        <x:v>1</x:v>
      </x:c>
      <x:c r="J11" s="34" t="n">
        <x:f>0</x:f>
        <x:v>0</x:v>
      </x:c>
      <x:c r="K11" s="34" t="n">
        <x:f>0</x:f>
        <x:v>0</x:v>
      </x:c>
      <x:c r="L11" s="34" t="n">
        <x:f>0</x:f>
        <x:v>0</x:v>
      </x:c>
      <x:c r="M11" s="34" t="n">
        <x:f>0</x:f>
        <x:v>0</x:v>
      </x:c>
      <x:c r="N11" s="34" t="n">
        <x:f>0</x:f>
        <x:v>0</x:v>
      </x:c>
      <x:c r="O11" s="34" t="n">
        <x:f>0</x:f>
        <x:v>0</x:v>
      </x:c>
      <x:c r="P11" s="34" t="n">
        <x:f>0</x:f>
        <x:v>0</x:v>
      </x:c>
      <x:c r="Q11" s="34" t="n">
        <x:f>0</x:f>
        <x:v>0</x:v>
      </x:c>
      <x:c r="R11" s="34" t="n">
        <x:f>0</x:f>
        <x:v>0</x:v>
      </x:c>
      <x:c r="S11" s="34" t="n">
        <x:f>0</x:f>
        <x:v>0</x:v>
      </x:c>
      <x:c r="T11" s="34" t="n">
        <x:f>0</x:f>
        <x:v>0</x:v>
      </x:c>
      <x:c r="U11" s="34" t="n">
        <x:f>0</x:f>
        <x:v>0</x:v>
      </x:c>
      <x:c r="V11" s="34" t="n">
        <x:f>0</x:f>
        <x:v>0</x:v>
      </x:c>
      <x:c r="W11" s="34" t="n">
        <x:f>0</x:f>
        <x:v>0</x:v>
      </x:c>
      <x:c r="X11" s="34" t="n">
        <x:f>0</x:f>
        <x:v>0</x:v>
      </x:c>
      <x:c r="Y11" s="34" t="n">
        <x:f>0</x:f>
        <x:v>0</x:v>
      </x:c>
      <x:c r="Z11" s="34" t="n">
        <x:f>0</x:f>
        <x:v>0</x:v>
      </x:c>
      <x:c r="AA11" s="34" t="n">
        <x:f>0</x:f>
        <x:v>0</x:v>
      </x:c>
      <x:c r="AB11" s="34" t="n">
        <x:f>0</x:f>
        <x:v>0</x:v>
      </x:c>
      <x:c r="AC11" s="34" t="n">
        <x:f>0</x:f>
        <x:v>0</x:v>
      </x:c>
    </x:row>
    <x:row r="12" ht="40" customHeight="1">
      <x:c r="A12" s="22" t="str">
        <x:v>R07</x:v>
      </x:c>
      <x:c r="B12" s="22" t="str">
        <x:v>铁矿Fe₂O₃当量</x:v>
      </x:c>
      <x:c r="C12" s="22" t="str">
        <x:v>kg有效组分当量</x:v>
      </x:c>
      <x:c r="D12" s="34" t="n">
        <x:f>0</x:f>
        <x:v>0</x:v>
      </x:c>
      <x:c r="E12" s="34" t="n">
        <x:f>0</x:f>
        <x:v>0</x:v>
      </x:c>
      <x:c r="F12" s="34" t="n">
        <x:f>0</x:f>
        <x:v>0</x:v>
      </x:c>
      <x:c r="G12" s="34" t="n">
        <x:f>0</x:f>
        <x:v>0</x:v>
      </x:c>
      <x:c r="H12" s="34" t="n">
        <x:f>0</x:f>
        <x:v>0</x:v>
      </x:c>
      <x:c r="I12" s="34" t="n">
        <x:f>0</x:f>
        <x:v>0</x:v>
      </x:c>
      <x:c r="J12" s="34" t="n">
        <x:f>1</x:f>
        <x:v>1</x:v>
      </x:c>
      <x:c r="K12" s="34" t="n">
        <x:f>0</x:f>
        <x:v>0</x:v>
      </x:c>
      <x:c r="L12" s="34" t="n">
        <x:f>0</x:f>
        <x:v>0</x:v>
      </x:c>
      <x:c r="M12" s="34" t="n">
        <x:f>0</x:f>
        <x:v>0</x:v>
      </x:c>
      <x:c r="N12" s="34" t="n">
        <x:f>0</x:f>
        <x:v>0</x:v>
      </x:c>
      <x:c r="O12" s="34" t="n">
        <x:f>0</x:f>
        <x:v>0</x:v>
      </x:c>
      <x:c r="P12" s="34" t="n">
        <x:f>0</x:f>
        <x:v>0</x:v>
      </x:c>
      <x:c r="Q12" s="34" t="n">
        <x:f>0</x:f>
        <x:v>0</x:v>
      </x:c>
      <x:c r="R12" s="34" t="n">
        <x:f>0</x:f>
        <x:v>0</x:v>
      </x:c>
      <x:c r="S12" s="34" t="n">
        <x:f>0</x:f>
        <x:v>0</x:v>
      </x:c>
      <x:c r="T12" s="34" t="n">
        <x:f>0</x:f>
        <x:v>0</x:v>
      </x:c>
      <x:c r="U12" s="34" t="n">
        <x:f>0</x:f>
        <x:v>0</x:v>
      </x:c>
      <x:c r="V12" s="34" t="n">
        <x:f>0</x:f>
        <x:v>0</x:v>
      </x:c>
      <x:c r="W12" s="34" t="n">
        <x:f>0</x:f>
        <x:v>0</x:v>
      </x:c>
      <x:c r="X12" s="34" t="n">
        <x:f>0</x:f>
        <x:v>0</x:v>
      </x:c>
      <x:c r="Y12" s="34" t="n">
        <x:f>0</x:f>
        <x:v>0</x:v>
      </x:c>
      <x:c r="Z12" s="34" t="n">
        <x:f>0</x:f>
        <x:v>0</x:v>
      </x:c>
      <x:c r="AA12" s="34" t="n">
        <x:f>0</x:f>
        <x:v>0</x:v>
      </x:c>
      <x:c r="AB12" s="34" t="n">
        <x:f>0</x:f>
        <x:v>0</x:v>
      </x:c>
      <x:c r="AC12" s="34" t="n">
        <x:f>0</x:f>
        <x:v>0</x:v>
      </x:c>
    </x:row>
    <x:row r="13" ht="40" customHeight="1">
      <x:c r="A13" s="22" t="str">
        <x:v>R08</x:v>
      </x:c>
      <x:c r="B13" s="22" t="str">
        <x:v>碳酸钙原料CaCO₃当量</x:v>
      </x:c>
      <x:c r="C13" s="22" t="str">
        <x:v>kg有效组分当量</x:v>
      </x:c>
      <x:c r="D13" s="34" t="n">
        <x:f>0</x:f>
        <x:v>0</x:v>
      </x:c>
      <x:c r="E13" s="34" t="n">
        <x:f>0</x:f>
        <x:v>0</x:v>
      </x:c>
      <x:c r="F13" s="34" t="n">
        <x:f>0</x:f>
        <x:v>0</x:v>
      </x:c>
      <x:c r="G13" s="34" t="n">
        <x:f>0</x:f>
        <x:v>0</x:v>
      </x:c>
      <x:c r="H13" s="34" t="n">
        <x:f>0</x:f>
        <x:v>0</x:v>
      </x:c>
      <x:c r="I13" s="34" t="n">
        <x:f>0</x:f>
        <x:v>0</x:v>
      </x:c>
      <x:c r="J13" s="34" t="n">
        <x:f>0</x:f>
        <x:v>0</x:v>
      </x:c>
      <x:c r="K13" s="34" t="n">
        <x:f>1</x:f>
        <x:v>1</x:v>
      </x:c>
      <x:c r="L13" s="34" t="n">
        <x:f>0</x:f>
        <x:v>0</x:v>
      </x:c>
      <x:c r="M13" s="34" t="n">
        <x:f>0</x:f>
        <x:v>0</x:v>
      </x:c>
      <x:c r="N13" s="34" t="n">
        <x:f>0</x:f>
        <x:v>0</x:v>
      </x:c>
      <x:c r="O13" s="34" t="n">
        <x:f>0</x:f>
        <x:v>0</x:v>
      </x:c>
      <x:c r="P13" s="34" t="n">
        <x:f>0</x:f>
        <x:v>0</x:v>
      </x:c>
      <x:c r="Q13" s="34" t="n">
        <x:f>0</x:f>
        <x:v>0</x:v>
      </x:c>
      <x:c r="R13" s="34" t="n">
        <x:f>0</x:f>
        <x:v>0</x:v>
      </x:c>
      <x:c r="S13" s="34" t="n">
        <x:f>0</x:f>
        <x:v>0</x:v>
      </x:c>
      <x:c r="T13" s="34" t="n">
        <x:f>0</x:f>
        <x:v>0</x:v>
      </x:c>
      <x:c r="U13" s="34" t="n">
        <x:f>0</x:f>
        <x:v>0</x:v>
      </x:c>
      <x:c r="V13" s="34" t="n">
        <x:f>0</x:f>
        <x:v>0</x:v>
      </x:c>
      <x:c r="W13" s="34" t="n">
        <x:f>0</x:f>
        <x:v>0</x:v>
      </x:c>
      <x:c r="X13" s="34" t="n">
        <x:f>0</x:f>
        <x:v>0</x:v>
      </x:c>
      <x:c r="Y13" s="34" t="n">
        <x:f>0</x:f>
        <x:v>0</x:v>
      </x:c>
      <x:c r="Z13" s="34" t="n">
        <x:f>0</x:f>
        <x:v>0</x:v>
      </x:c>
      <x:c r="AA13" s="34" t="n">
        <x:f>0</x:f>
        <x:v>0</x:v>
      </x:c>
      <x:c r="AB13" s="34" t="n">
        <x:f>0</x:f>
        <x:v>0</x:v>
      </x:c>
      <x:c r="AC13" s="34" t="n">
        <x:f>0</x:f>
        <x:v>0</x:v>
      </x:c>
    </x:row>
    <x:row r="14" ht="40" customHeight="1">
      <x:c r="A14" s="22" t="str">
        <x:v>R09</x:v>
      </x:c>
      <x:c r="B14" s="22" t="str">
        <x:v>天然硫S</x:v>
      </x:c>
      <x:c r="C14" s="22" t="str">
        <x:v>kg有效组分当量</x:v>
      </x:c>
      <x:c r="D14" s="34" t="n">
        <x:f>0</x:f>
        <x:v>0</x:v>
      </x:c>
      <x:c r="E14" s="34" t="n">
        <x:f>0</x:f>
        <x:v>0</x:v>
      </x:c>
      <x:c r="F14" s="34" t="n">
        <x:f>0</x:f>
        <x:v>0</x:v>
      </x:c>
      <x:c r="G14" s="34" t="n">
        <x:f>0</x:f>
        <x:v>0</x:v>
      </x:c>
      <x:c r="H14" s="34" t="n">
        <x:f>0</x:f>
        <x:v>0</x:v>
      </x:c>
      <x:c r="I14" s="34" t="n">
        <x:f>0</x:f>
        <x:v>0</x:v>
      </x:c>
      <x:c r="J14" s="34" t="n">
        <x:f>0</x:f>
        <x:v>0</x:v>
      </x:c>
      <x:c r="K14" s="34" t="n">
        <x:f>0</x:f>
        <x:v>0</x:v>
      </x:c>
      <x:c r="L14" s="34" t="n">
        <x:f>1</x:f>
        <x:v>1</x:v>
      </x:c>
      <x:c r="M14" s="34" t="n">
        <x:f>0</x:f>
        <x:v>0</x:v>
      </x:c>
      <x:c r="N14" s="34" t="n">
        <x:f>0</x:f>
        <x:v>0</x:v>
      </x:c>
      <x:c r="O14" s="34" t="n">
        <x:f>0</x:f>
        <x:v>0</x:v>
      </x:c>
      <x:c r="P14" s="34" t="n">
        <x:f>0</x:f>
        <x:v>0</x:v>
      </x:c>
      <x:c r="Q14" s="34" t="n">
        <x:f>0</x:f>
        <x:v>0</x:v>
      </x:c>
      <x:c r="R14" s="34" t="n">
        <x:f>0</x:f>
        <x:v>0</x:v>
      </x:c>
      <x:c r="S14" s="34" t="n">
        <x:f>0</x:f>
        <x:v>0</x:v>
      </x:c>
      <x:c r="T14" s="34" t="n">
        <x:f>0</x:f>
        <x:v>0</x:v>
      </x:c>
      <x:c r="U14" s="34" t="n">
        <x:f>0</x:f>
        <x:v>0</x:v>
      </x:c>
      <x:c r="V14" s="34" t="n">
        <x:f>0</x:f>
        <x:v>0</x:v>
      </x:c>
      <x:c r="W14" s="34" t="n">
        <x:f>0</x:f>
        <x:v>0</x:v>
      </x:c>
      <x:c r="X14" s="34" t="n">
        <x:f>0</x:f>
        <x:v>0</x:v>
      </x:c>
      <x:c r="Y14" s="34" t="n">
        <x:f>0</x:f>
        <x:v>0</x:v>
      </x:c>
      <x:c r="Z14" s="34" t="n">
        <x:f>0</x:f>
        <x:v>0</x:v>
      </x:c>
      <x:c r="AA14" s="34" t="n">
        <x:f>0</x:f>
        <x:v>0</x:v>
      </x:c>
      <x:c r="AB14" s="34" t="n">
        <x:f>0</x:f>
        <x:v>0</x:v>
      </x:c>
      <x:c r="AC14" s="34" t="n">
        <x:f>0</x:f>
        <x:v>0</x:v>
      </x:c>
    </x:row>
    <x:row r="15" ht="40" customHeight="1">
      <x:c r="A15" s="22" t="str">
        <x:v>R10</x:v>
      </x:c>
      <x:c r="B15" s="22" t="str">
        <x:v>磷灰石Ca₅(PO₄)₃F当量</x:v>
      </x:c>
      <x:c r="C15" s="22" t="str">
        <x:v>kg有效组分当量</x:v>
      </x:c>
      <x:c r="D15" s="34" t="n">
        <x:f>0</x:f>
        <x:v>0</x:v>
      </x:c>
      <x:c r="E15" s="34" t="n">
        <x:f>0</x:f>
        <x:v>0</x:v>
      </x:c>
      <x:c r="F15" s="34" t="n">
        <x:f>0</x:f>
        <x:v>0</x:v>
      </x:c>
      <x:c r="G15" s="34" t="n">
        <x:f>0</x:f>
        <x:v>0</x:v>
      </x:c>
      <x:c r="H15" s="34" t="n">
        <x:f>0</x:f>
        <x:v>0</x:v>
      </x:c>
      <x:c r="I15" s="34" t="n">
        <x:f>0</x:f>
        <x:v>0</x:v>
      </x:c>
      <x:c r="J15" s="34" t="n">
        <x:f>0</x:f>
        <x:v>0</x:v>
      </x:c>
      <x:c r="K15" s="34" t="n">
        <x:f>0</x:f>
        <x:v>0</x:v>
      </x:c>
      <x:c r="L15" s="34" t="n">
        <x:f>0</x:f>
        <x:v>0</x:v>
      </x:c>
      <x:c r="M15" s="34" t="n">
        <x:f>1</x:f>
        <x:v>1</x:v>
      </x:c>
      <x:c r="N15" s="34" t="n">
        <x:f>0</x:f>
        <x:v>0</x:v>
      </x:c>
      <x:c r="O15" s="34" t="n">
        <x:f>0</x:f>
        <x:v>0</x:v>
      </x:c>
      <x:c r="P15" s="34" t="n">
        <x:f>0</x:f>
        <x:v>0</x:v>
      </x:c>
      <x:c r="Q15" s="34" t="n">
        <x:f>0</x:f>
        <x:v>0</x:v>
      </x:c>
      <x:c r="R15" s="34" t="n">
        <x:f>0</x:f>
        <x:v>0</x:v>
      </x:c>
      <x:c r="S15" s="34" t="n">
        <x:f>0</x:f>
        <x:v>0</x:v>
      </x:c>
      <x:c r="T15" s="34" t="n">
        <x:f>0</x:f>
        <x:v>0</x:v>
      </x:c>
      <x:c r="U15" s="34" t="n">
        <x:f>0</x:f>
        <x:v>0</x:v>
      </x:c>
      <x:c r="V15" s="34" t="n">
        <x:f>0</x:f>
        <x:v>0</x:v>
      </x:c>
      <x:c r="W15" s="34" t="n">
        <x:f>0</x:f>
        <x:v>0</x:v>
      </x:c>
      <x:c r="X15" s="34" t="n">
        <x:f>0</x:f>
        <x:v>0</x:v>
      </x:c>
      <x:c r="Y15" s="34" t="n">
        <x:f>0</x:f>
        <x:v>0</x:v>
      </x:c>
      <x:c r="Z15" s="34" t="n">
        <x:f>0</x:f>
        <x:v>0</x:v>
      </x:c>
      <x:c r="AA15" s="34" t="n">
        <x:f>0</x:f>
        <x:v>0</x:v>
      </x:c>
      <x:c r="AB15" s="34" t="n">
        <x:f>0</x:f>
        <x:v>0</x:v>
      </x:c>
      <x:c r="AC15" s="34" t="n">
        <x:f>0</x:f>
        <x:v>0</x:v>
      </x:c>
    </x:row>
    <x:row r="16" ht="40" customHeight="1">
      <x:c r="A16" s="22" t="str">
        <x:v>R11</x:v>
      </x:c>
      <x:c r="B16" s="22" t="str">
        <x:v>可选钾盐KCl</x:v>
      </x:c>
      <x:c r="C16" s="22" t="str">
        <x:v>kg有效组分当量</x:v>
      </x:c>
      <x:c r="D16" s="34" t="n">
        <x:f>0</x:f>
        <x:v>0</x:v>
      </x:c>
      <x:c r="E16" s="34" t="n">
        <x:f>0</x:f>
        <x:v>0</x:v>
      </x:c>
      <x:c r="F16" s="34" t="n">
        <x:f>0</x:f>
        <x:v>0</x:v>
      </x:c>
      <x:c r="G16" s="34" t="n">
        <x:f>0</x:f>
        <x:v>0</x:v>
      </x:c>
      <x:c r="H16" s="34" t="n">
        <x:f>0</x:f>
        <x:v>0</x:v>
      </x:c>
      <x:c r="I16" s="34" t="n">
        <x:f>0</x:f>
        <x:v>0</x:v>
      </x:c>
      <x:c r="J16" s="34" t="n">
        <x:f>0</x:f>
        <x:v>0</x:v>
      </x:c>
      <x:c r="K16" s="34" t="n">
        <x:f>0</x:f>
        <x:v>0</x:v>
      </x:c>
      <x:c r="L16" s="34" t="n">
        <x:f>0</x:f>
        <x:v>0</x:v>
      </x:c>
      <x:c r="M16" s="34" t="n">
        <x:f>0</x:f>
        <x:v>0</x:v>
      </x:c>
      <x:c r="N16" s="34" t="n">
        <x:f>1</x:f>
        <x:v>1</x:v>
      </x:c>
      <x:c r="O16" s="34" t="n">
        <x:f>0</x:f>
        <x:v>0</x:v>
      </x:c>
      <x:c r="P16" s="34" t="n">
        <x:f>0</x:f>
        <x:v>0</x:v>
      </x:c>
      <x:c r="Q16" s="34" t="n">
        <x:f>0</x:f>
        <x:v>0</x:v>
      </x:c>
      <x:c r="R16" s="34" t="n">
        <x:f>0</x:f>
        <x:v>0</x:v>
      </x:c>
      <x:c r="S16" s="34" t="n">
        <x:f>0</x:f>
        <x:v>0</x:v>
      </x:c>
      <x:c r="T16" s="34" t="n">
        <x:f>0</x:f>
        <x:v>0</x:v>
      </x:c>
      <x:c r="U16" s="34" t="n">
        <x:f>0</x:f>
        <x:v>0</x:v>
      </x:c>
      <x:c r="V16" s="34" t="n">
        <x:f>0</x:f>
        <x:v>0</x:v>
      </x:c>
      <x:c r="W16" s="34" t="n">
        <x:f>0</x:f>
        <x:v>0</x:v>
      </x:c>
      <x:c r="X16" s="34" t="n">
        <x:f>0</x:f>
        <x:v>0</x:v>
      </x:c>
      <x:c r="Y16" s="34" t="n">
        <x:f>0</x:f>
        <x:v>0</x:v>
      </x:c>
      <x:c r="Z16" s="34" t="n">
        <x:f>0</x:f>
        <x:v>0</x:v>
      </x:c>
      <x:c r="AA16" s="34" t="n">
        <x:f>0</x:f>
        <x:v>0</x:v>
      </x:c>
      <x:c r="AB16" s="34" t="n">
        <x:f>0</x:f>
        <x:v>0</x:v>
      </x:c>
      <x:c r="AC16" s="34" t="n">
        <x:f>0</x:f>
        <x:v>0</x:v>
      </x:c>
    </x:row>
    <x:row r="17" ht="40" customHeight="1">
      <x:c r="A17" s="22" t="str">
        <x:v>R12</x:v>
      </x:c>
      <x:c r="B17" s="22" t="str">
        <x:v>含水硫酸镁MgSO₄·H₂O当量</x:v>
      </x:c>
      <x:c r="C17" s="22" t="str">
        <x:v>kg有效组分当量</x:v>
      </x:c>
      <x:c r="D17" s="34" t="n">
        <x:f>0</x:f>
        <x:v>0</x:v>
      </x:c>
      <x:c r="E17" s="34" t="n">
        <x:f>0</x:f>
        <x:v>0</x:v>
      </x:c>
      <x:c r="F17" s="34" t="n">
        <x:f>0</x:f>
        <x:v>0</x:v>
      </x:c>
      <x:c r="G17" s="34" t="n">
        <x:f>0</x:f>
        <x:v>0</x:v>
      </x:c>
      <x:c r="H17" s="34" t="n">
        <x:f>0</x:f>
        <x:v>0</x:v>
      </x:c>
      <x:c r="I17" s="34" t="n">
        <x:f>0</x:f>
        <x:v>0</x:v>
      </x:c>
      <x:c r="J17" s="34" t="n">
        <x:f>0</x:f>
        <x:v>0</x:v>
      </x:c>
      <x:c r="K17" s="34" t="n">
        <x:f>0</x:f>
        <x:v>0</x:v>
      </x:c>
      <x:c r="L17" s="34" t="n">
        <x:f>0</x:f>
        <x:v>0</x:v>
      </x:c>
      <x:c r="M17" s="34" t="n">
        <x:f>0</x:f>
        <x:v>0</x:v>
      </x:c>
      <x:c r="N17" s="34" t="n">
        <x:f>0</x:f>
        <x:v>0</x:v>
      </x:c>
      <x:c r="O17" s="34" t="n">
        <x:f>1</x:f>
        <x:v>1</x:v>
      </x:c>
      <x:c r="P17" s="34" t="n">
        <x:f>0</x:f>
        <x:v>0</x:v>
      </x:c>
      <x:c r="Q17" s="34" t="n">
        <x:f>0</x:f>
        <x:v>0</x:v>
      </x:c>
      <x:c r="R17" s="34" t="n">
        <x:f>0</x:f>
        <x:v>0</x:v>
      </x:c>
      <x:c r="S17" s="34" t="n">
        <x:f>0</x:f>
        <x:v>0</x:v>
      </x:c>
      <x:c r="T17" s="34" t="n">
        <x:f>0</x:f>
        <x:v>0</x:v>
      </x:c>
      <x:c r="U17" s="34" t="n">
        <x:f>0</x:f>
        <x:v>0</x:v>
      </x:c>
      <x:c r="V17" s="34" t="n">
        <x:f>0</x:f>
        <x:v>0</x:v>
      </x:c>
      <x:c r="W17" s="34" t="n">
        <x:f>0</x:f>
        <x:v>0</x:v>
      </x:c>
      <x:c r="X17" s="34" t="n">
        <x:f>0</x:f>
        <x:v>0</x:v>
      </x:c>
      <x:c r="Y17" s="34" t="n">
        <x:f>0</x:f>
        <x:v>0</x:v>
      </x:c>
      <x:c r="Z17" s="34" t="n">
        <x:f>0</x:f>
        <x:v>0</x:v>
      </x:c>
      <x:c r="AA17" s="34" t="n">
        <x:f>0</x:f>
        <x:v>0</x:v>
      </x:c>
      <x:c r="AB17" s="34" t="n">
        <x:f>0</x:f>
        <x:v>0</x:v>
      </x:c>
      <x:c r="AC17" s="34" t="n">
        <x:f>0</x:f>
        <x:v>0</x:v>
      </x:c>
    </x:row>
    <x:row r="18" ht="40" customHeight="1">
      <x:c r="A18" s="22" t="str">
        <x:v>R13</x:v>
      </x:c>
      <x:c r="B18" s="22" t="str">
        <x:v>氯化钠NaCl</x:v>
      </x:c>
      <x:c r="C18" s="22" t="str">
        <x:v>kg有效组分当量</x:v>
      </x:c>
      <x:c r="D18" s="34" t="n">
        <x:f>0</x:f>
        <x:v>0</x:v>
      </x:c>
      <x:c r="E18" s="34" t="n">
        <x:f>0</x:f>
        <x:v>0</x:v>
      </x:c>
      <x:c r="F18" s="34" t="n">
        <x:f>0</x:f>
        <x:v>0</x:v>
      </x:c>
      <x:c r="G18" s="34" t="n">
        <x:f>0</x:f>
        <x:v>0</x:v>
      </x:c>
      <x:c r="H18" s="34" t="n">
        <x:f>0</x:f>
        <x:v>0</x:v>
      </x:c>
      <x:c r="I18" s="34" t="n">
        <x:f>0</x:f>
        <x:v>0</x:v>
      </x:c>
      <x:c r="J18" s="34" t="n">
        <x:f>0</x:f>
        <x:v>0</x:v>
      </x:c>
      <x:c r="K18" s="34" t="n">
        <x:f>0</x:f>
        <x:v>0</x:v>
      </x:c>
      <x:c r="L18" s="34" t="n">
        <x:f>0</x:f>
        <x:v>0</x:v>
      </x:c>
      <x:c r="M18" s="34" t="n">
        <x:f>0</x:f>
        <x:v>0</x:v>
      </x:c>
      <x:c r="N18" s="34" t="n">
        <x:f>0</x:f>
        <x:v>0</x:v>
      </x:c>
      <x:c r="O18" s="34" t="n">
        <x:f>0</x:f>
        <x:v>0</x:v>
      </x:c>
      <x:c r="P18" s="34" t="n">
        <x:f>1</x:f>
        <x:v>1</x:v>
      </x:c>
      <x:c r="Q18" s="34" t="n">
        <x:f>0</x:f>
        <x:v>0</x:v>
      </x:c>
      <x:c r="R18" s="34" t="n">
        <x:f>0</x:f>
        <x:v>0</x:v>
      </x:c>
      <x:c r="S18" s="34" t="n">
        <x:f>0</x:f>
        <x:v>0</x:v>
      </x:c>
      <x:c r="T18" s="34" t="n">
        <x:f>0</x:f>
        <x:v>0</x:v>
      </x:c>
      <x:c r="U18" s="34" t="n">
        <x:f>0</x:f>
        <x:v>0</x:v>
      </x:c>
      <x:c r="V18" s="34" t="n">
        <x:f>0</x:f>
        <x:v>0</x:v>
      </x:c>
      <x:c r="W18" s="34" t="n">
        <x:f>0</x:f>
        <x:v>0</x:v>
      </x:c>
      <x:c r="X18" s="34" t="n">
        <x:f>0</x:f>
        <x:v>0</x:v>
      </x:c>
      <x:c r="Y18" s="34" t="n">
        <x:f>0</x:f>
        <x:v>0</x:v>
      </x:c>
      <x:c r="Z18" s="34" t="n">
        <x:f>0</x:f>
        <x:v>0</x:v>
      </x:c>
      <x:c r="AA18" s="34" t="n">
        <x:f>0</x:f>
        <x:v>0</x:v>
      </x:c>
      <x:c r="AB18" s="34" t="n">
        <x:f>0</x:f>
        <x:v>0</x:v>
      </x:c>
      <x:c r="AC18" s="34" t="n">
        <x:f>0</x:f>
        <x:v>0</x:v>
      </x:c>
    </x:row>
    <x:row r="19" ht="40" customHeight="1">
      <x:c r="A19" s="22" t="str">
        <x:v>R14</x:v>
      </x:c>
      <x:c r="B19" s="22" t="str">
        <x:v>铜矿CuO当量</x:v>
      </x:c>
      <x:c r="C19" s="22" t="str">
        <x:v>kg有效组分当量</x:v>
      </x:c>
      <x:c r="D19" s="34" t="n">
        <x:f>0</x:f>
        <x:v>0</x:v>
      </x:c>
      <x:c r="E19" s="34" t="n">
        <x:f>0</x:f>
        <x:v>0</x:v>
      </x:c>
      <x:c r="F19" s="34" t="n">
        <x:f>0</x:f>
        <x:v>0</x:v>
      </x:c>
      <x:c r="G19" s="34" t="n">
        <x:f>0</x:f>
        <x:v>0</x:v>
      </x:c>
      <x:c r="H19" s="34" t="n">
        <x:f>0</x:f>
        <x:v>0</x:v>
      </x:c>
      <x:c r="I19" s="34" t="n">
        <x:f>0</x:f>
        <x:v>0</x:v>
      </x:c>
      <x:c r="J19" s="34" t="n">
        <x:f>0</x:f>
        <x:v>0</x:v>
      </x:c>
      <x:c r="K19" s="34" t="n">
        <x:f>0</x:f>
        <x:v>0</x:v>
      </x:c>
      <x:c r="L19" s="34" t="n">
        <x:f>0</x:f>
        <x:v>0</x:v>
      </x:c>
      <x:c r="M19" s="34" t="n">
        <x:f>0</x:f>
        <x:v>0</x:v>
      </x:c>
      <x:c r="N19" s="34" t="n">
        <x:f>0</x:f>
        <x:v>0</x:v>
      </x:c>
      <x:c r="O19" s="34" t="n">
        <x:f>0</x:f>
        <x:v>0</x:v>
      </x:c>
      <x:c r="P19" s="34" t="n">
        <x:f>0</x:f>
        <x:v>0</x:v>
      </x:c>
      <x:c r="Q19" s="34" t="n">
        <x:f>1</x:f>
        <x:v>1</x:v>
      </x:c>
      <x:c r="R19" s="34" t="n">
        <x:f>0</x:f>
        <x:v>0</x:v>
      </x:c>
      <x:c r="S19" s="34" t="n">
        <x:f>0</x:f>
        <x:v>0</x:v>
      </x:c>
      <x:c r="T19" s="34" t="n">
        <x:f>0</x:f>
        <x:v>0</x:v>
      </x:c>
      <x:c r="U19" s="34" t="n">
        <x:f>0</x:f>
        <x:v>0</x:v>
      </x:c>
      <x:c r="V19" s="34" t="n">
        <x:f>0</x:f>
        <x:v>0</x:v>
      </x:c>
      <x:c r="W19" s="34" t="n">
        <x:f>0</x:f>
        <x:v>0</x:v>
      </x:c>
      <x:c r="X19" s="34" t="n">
        <x:f>0</x:f>
        <x:v>0</x:v>
      </x:c>
      <x:c r="Y19" s="34" t="n">
        <x:f>0</x:f>
        <x:v>0</x:v>
      </x:c>
      <x:c r="Z19" s="34" t="n">
        <x:f>0</x:f>
        <x:v>0</x:v>
      </x:c>
      <x:c r="AA19" s="34" t="n">
        <x:f>0</x:f>
        <x:v>0</x:v>
      </x:c>
      <x:c r="AB19" s="34" t="n">
        <x:f>0</x:f>
        <x:v>0</x:v>
      </x:c>
      <x:c r="AC19" s="34" t="n">
        <x:f>0</x:f>
        <x:v>0</x:v>
      </x:c>
    </x:row>
    <x:row r="20" ht="40" customHeight="1">
      <x:c r="A20" s="22" t="str">
        <x:v>R15</x:v>
      </x:c>
      <x:c r="B20" s="22" t="str">
        <x:v>镍矿NiO当量</x:v>
      </x:c>
      <x:c r="C20" s="22" t="str">
        <x:v>kg有效组分当量</x:v>
      </x:c>
      <x:c r="D20" s="34" t="n">
        <x:f>0</x:f>
        <x:v>0</x:v>
      </x:c>
      <x:c r="E20" s="34" t="n">
        <x:f>0</x:f>
        <x:v>0</x:v>
      </x:c>
      <x:c r="F20" s="34" t="n">
        <x:f>0</x:f>
        <x:v>0</x:v>
      </x:c>
      <x:c r="G20" s="34" t="n">
        <x:f>0</x:f>
        <x:v>0</x:v>
      </x:c>
      <x:c r="H20" s="34" t="n">
        <x:f>0</x:f>
        <x:v>0</x:v>
      </x:c>
      <x:c r="I20" s="34" t="n">
        <x:f>0</x:f>
        <x:v>0</x:v>
      </x:c>
      <x:c r="J20" s="34" t="n">
        <x:f>0</x:f>
        <x:v>0</x:v>
      </x:c>
      <x:c r="K20" s="34" t="n">
        <x:f>0</x:f>
        <x:v>0</x:v>
      </x:c>
      <x:c r="L20" s="34" t="n">
        <x:f>0</x:f>
        <x:v>0</x:v>
      </x:c>
      <x:c r="M20" s="34" t="n">
        <x:f>0</x:f>
        <x:v>0</x:v>
      </x:c>
      <x:c r="N20" s="34" t="n">
        <x:f>0</x:f>
        <x:v>0</x:v>
      </x:c>
      <x:c r="O20" s="34" t="n">
        <x:f>0</x:f>
        <x:v>0</x:v>
      </x:c>
      <x:c r="P20" s="34" t="n">
        <x:f>0</x:f>
        <x:v>0</x:v>
      </x:c>
      <x:c r="Q20" s="34" t="n">
        <x:f>0</x:f>
        <x:v>0</x:v>
      </x:c>
      <x:c r="R20" s="34" t="n">
        <x:f>1</x:f>
        <x:v>1</x:v>
      </x:c>
      <x:c r="S20" s="34" t="n">
        <x:f>0</x:f>
        <x:v>0</x:v>
      </x:c>
      <x:c r="T20" s="34" t="n">
        <x:f>0</x:f>
        <x:v>0</x:v>
      </x:c>
      <x:c r="U20" s="34" t="n">
        <x:f>0</x:f>
        <x:v>0</x:v>
      </x:c>
      <x:c r="V20" s="34" t="n">
        <x:f>0</x:f>
        <x:v>0</x:v>
      </x:c>
      <x:c r="W20" s="34" t="n">
        <x:f>0</x:f>
        <x:v>0</x:v>
      </x:c>
      <x:c r="X20" s="34" t="n">
        <x:f>0</x:f>
        <x:v>0</x:v>
      </x:c>
      <x:c r="Y20" s="34" t="n">
        <x:f>0</x:f>
        <x:v>0</x:v>
      </x:c>
      <x:c r="Z20" s="34" t="n">
        <x:f>0</x:f>
        <x:v>0</x:v>
      </x:c>
      <x:c r="AA20" s="34" t="n">
        <x:f>0</x:f>
        <x:v>0</x:v>
      </x:c>
      <x:c r="AB20" s="34" t="n">
        <x:f>0</x:f>
        <x:v>0</x:v>
      </x:c>
      <x:c r="AC20" s="34" t="n">
        <x:f>0</x:f>
        <x:v>0</x:v>
      </x:c>
    </x:row>
    <x:row r="21" ht="40" customHeight="1">
      <x:c r="A21" s="22" t="str">
        <x:v>R16</x:v>
      </x:c>
      <x:c r="B21" s="22" t="str">
        <x:v>富铝矿Al₂O₃当量</x:v>
      </x:c>
      <x:c r="C21" s="22" t="str">
        <x:v>kg有效组分当量</x:v>
      </x:c>
      <x:c r="D21" s="34" t="n">
        <x:f>0</x:f>
        <x:v>0</x:v>
      </x:c>
      <x:c r="E21" s="34" t="n">
        <x:f>0</x:f>
        <x:v>0</x:v>
      </x:c>
      <x:c r="F21" s="34" t="n">
        <x:f>0</x:f>
        <x:v>0</x:v>
      </x:c>
      <x:c r="G21" s="34" t="n">
        <x:f>0</x:f>
        <x:v>0</x:v>
      </x:c>
      <x:c r="H21" s="34" t="n">
        <x:f>0</x:f>
        <x:v>0</x:v>
      </x:c>
      <x:c r="I21" s="34" t="n">
        <x:f>0</x:f>
        <x:v>0</x:v>
      </x:c>
      <x:c r="J21" s="34" t="n">
        <x:f>0</x:f>
        <x:v>0</x:v>
      </x:c>
      <x:c r="K21" s="34" t="n">
        <x:f>0</x:f>
        <x:v>0</x:v>
      </x:c>
      <x:c r="L21" s="34" t="n">
        <x:f>0</x:f>
        <x:v>0</x:v>
      </x:c>
      <x:c r="M21" s="34" t="n">
        <x:f>0</x:f>
        <x:v>0</x:v>
      </x:c>
      <x:c r="N21" s="34" t="n">
        <x:f>0</x:f>
        <x:v>0</x:v>
      </x:c>
      <x:c r="O21" s="34" t="n">
        <x:f>0</x:f>
        <x:v>0</x:v>
      </x:c>
      <x:c r="P21" s="34" t="n">
        <x:f>0</x:f>
        <x:v>0</x:v>
      </x:c>
      <x:c r="Q21" s="34" t="n">
        <x:f>0</x:f>
        <x:v>0</x:v>
      </x:c>
      <x:c r="R21" s="34" t="n">
        <x:f>0</x:f>
        <x:v>0</x:v>
      </x:c>
      <x:c r="S21" s="34" t="n">
        <x:f>1</x:f>
        <x:v>1</x:v>
      </x:c>
      <x:c r="T21" s="34" t="n">
        <x:f>0</x:f>
        <x:v>0</x:v>
      </x:c>
      <x:c r="U21" s="34" t="n">
        <x:f>0</x:f>
        <x:v>0</x:v>
      </x:c>
      <x:c r="V21" s="34" t="n">
        <x:f>0</x:f>
        <x:v>0</x:v>
      </x:c>
      <x:c r="W21" s="34" t="n">
        <x:f>0</x:f>
        <x:v>0</x:v>
      </x:c>
      <x:c r="X21" s="34" t="n">
        <x:f>0</x:f>
        <x:v>0</x:v>
      </x:c>
      <x:c r="Y21" s="34" t="n">
        <x:f>0</x:f>
        <x:v>0</x:v>
      </x:c>
      <x:c r="Z21" s="34" t="n">
        <x:f>0</x:f>
        <x:v>0</x:v>
      </x:c>
      <x:c r="AA21" s="34" t="n">
        <x:f>0</x:f>
        <x:v>0</x:v>
      </x:c>
      <x:c r="AB21" s="34" t="n">
        <x:f>0</x:f>
        <x:v>0</x:v>
      </x:c>
      <x:c r="AC21" s="34" t="n">
        <x:f>0</x:f>
        <x:v>0</x:v>
      </x:c>
    </x:row>
    <x:row r="22" ht="40" customHeight="1">
      <x:c r="A22" s="22" t="str">
        <x:v>R17</x:v>
      </x:c>
      <x:c r="B22" s="22" t="str">
        <x:v>可选银矿Ag₂S当量</x:v>
      </x:c>
      <x:c r="C22" s="22" t="str">
        <x:v>kg有效组分当量</x:v>
      </x:c>
      <x:c r="D22" s="34" t="n">
        <x:f>0</x:f>
        <x:v>0</x:v>
      </x:c>
      <x:c r="E22" s="34" t="n">
        <x:f>0</x:f>
        <x:v>0</x:v>
      </x:c>
      <x:c r="F22" s="34" t="n">
        <x:f>0</x:f>
        <x:v>0</x:v>
      </x:c>
      <x:c r="G22" s="34" t="n">
        <x:f>0</x:f>
        <x:v>0</x:v>
      </x:c>
      <x:c r="H22" s="34" t="n">
        <x:f>0</x:f>
        <x:v>0</x:v>
      </x:c>
      <x:c r="I22" s="34" t="n">
        <x:f>0</x:f>
        <x:v>0</x:v>
      </x:c>
      <x:c r="J22" s="34" t="n">
        <x:f>0</x:f>
        <x:v>0</x:v>
      </x:c>
      <x:c r="K22" s="34" t="n">
        <x:f>0</x:f>
        <x:v>0</x:v>
      </x:c>
      <x:c r="L22" s="34" t="n">
        <x:f>0</x:f>
        <x:v>0</x:v>
      </x:c>
      <x:c r="M22" s="34" t="n">
        <x:f>0</x:f>
        <x:v>0</x:v>
      </x:c>
      <x:c r="N22" s="34" t="n">
        <x:f>0</x:f>
        <x:v>0</x:v>
      </x:c>
      <x:c r="O22" s="34" t="n">
        <x:f>0</x:f>
        <x:v>0</x:v>
      </x:c>
      <x:c r="P22" s="34" t="n">
        <x:f>0</x:f>
        <x:v>0</x:v>
      </x:c>
      <x:c r="Q22" s="34" t="n">
        <x:f>0</x:f>
        <x:v>0</x:v>
      </x:c>
      <x:c r="R22" s="34" t="n">
        <x:f>0</x:f>
        <x:v>0</x:v>
      </x:c>
      <x:c r="S22" s="34" t="n">
        <x:f>0</x:f>
        <x:v>0</x:v>
      </x:c>
      <x:c r="T22" s="34" t="n">
        <x:f>1</x:f>
        <x:v>1</x:v>
      </x:c>
      <x:c r="U22" s="34" t="n">
        <x:f>0</x:f>
        <x:v>0</x:v>
      </x:c>
      <x:c r="V22" s="34" t="n">
        <x:f>0</x:f>
        <x:v>0</x:v>
      </x:c>
      <x:c r="W22" s="34" t="n">
        <x:f>0</x:f>
        <x:v>0</x:v>
      </x:c>
      <x:c r="X22" s="34" t="n">
        <x:f>0</x:f>
        <x:v>0</x:v>
      </x:c>
      <x:c r="Y22" s="34" t="n">
        <x:f>0</x:f>
        <x:v>0</x:v>
      </x:c>
      <x:c r="Z22" s="34" t="n">
        <x:f>0</x:f>
        <x:v>0</x:v>
      </x:c>
      <x:c r="AA22" s="34" t="n">
        <x:f>0</x:f>
        <x:v>0</x:v>
      </x:c>
      <x:c r="AB22" s="34" t="n">
        <x:f>0</x:f>
        <x:v>0</x:v>
      </x:c>
      <x:c r="AC22" s="34" t="n">
        <x:f>0</x:f>
        <x:v>0</x:v>
      </x:c>
    </x:row>
    <x:row r="23" ht="40" customHeight="1">
      <x:c r="A23" s="22" t="str">
        <x:v>R18</x:v>
      </x:c>
      <x:c r="B23" s="22" t="str">
        <x:v>硼矿B₂O₃当量</x:v>
      </x:c>
      <x:c r="C23" s="22" t="str">
        <x:v>kg有效组分当量</x:v>
      </x:c>
      <x:c r="D23" s="34" t="n">
        <x:f>0</x:f>
        <x:v>0</x:v>
      </x:c>
      <x:c r="E23" s="34" t="n">
        <x:f>0</x:f>
        <x:v>0</x:v>
      </x:c>
      <x:c r="F23" s="34" t="n">
        <x:f>0</x:f>
        <x:v>0</x:v>
      </x:c>
      <x:c r="G23" s="34" t="n">
        <x:f>0</x:f>
        <x:v>0</x:v>
      </x:c>
      <x:c r="H23" s="34" t="n">
        <x:f>0</x:f>
        <x:v>0</x:v>
      </x:c>
      <x:c r="I23" s="34" t="n">
        <x:f>0</x:f>
        <x:v>0</x:v>
      </x:c>
      <x:c r="J23" s="34" t="n">
        <x:f>0</x:f>
        <x:v>0</x:v>
      </x:c>
      <x:c r="K23" s="34" t="n">
        <x:f>0</x:f>
        <x:v>0</x:v>
      </x:c>
      <x:c r="L23" s="34" t="n">
        <x:f>0</x:f>
        <x:v>0</x:v>
      </x:c>
      <x:c r="M23" s="34" t="n">
        <x:f>0</x:f>
        <x:v>0</x:v>
      </x:c>
      <x:c r="N23" s="34" t="n">
        <x:f>0</x:f>
        <x:v>0</x:v>
      </x:c>
      <x:c r="O23" s="34" t="n">
        <x:f>0</x:f>
        <x:v>0</x:v>
      </x:c>
      <x:c r="P23" s="34" t="n">
        <x:f>0</x:f>
        <x:v>0</x:v>
      </x:c>
      <x:c r="Q23" s="34" t="n">
        <x:f>0</x:f>
        <x:v>0</x:v>
      </x:c>
      <x:c r="R23" s="34" t="n">
        <x:f>0</x:f>
        <x:v>0</x:v>
      </x:c>
      <x:c r="S23" s="34" t="n">
        <x:f>0</x:f>
        <x:v>0</x:v>
      </x:c>
      <x:c r="T23" s="34" t="n">
        <x:f>0</x:f>
        <x:v>0</x:v>
      </x:c>
      <x:c r="U23" s="34" t="n">
        <x:f>1</x:f>
        <x:v>1</x:v>
      </x:c>
      <x:c r="V23" s="34" t="n">
        <x:f>0</x:f>
        <x:v>0</x:v>
      </x:c>
      <x:c r="W23" s="34" t="n">
        <x:f>0</x:f>
        <x:v>0</x:v>
      </x:c>
      <x:c r="X23" s="34" t="n">
        <x:f>0</x:f>
        <x:v>0</x:v>
      </x:c>
      <x:c r="Y23" s="34" t="n">
        <x:f>0</x:f>
        <x:v>0</x:v>
      </x:c>
      <x:c r="Z23" s="34" t="n">
        <x:f>0</x:f>
        <x:v>0</x:v>
      </x:c>
      <x:c r="AA23" s="34" t="n">
        <x:f>0</x:f>
        <x:v>0</x:v>
      </x:c>
      <x:c r="AB23" s="34" t="n">
        <x:f>0</x:f>
        <x:v>0</x:v>
      </x:c>
      <x:c r="AC23" s="34" t="n">
        <x:f>0</x:f>
        <x:v>0</x:v>
      </x:c>
    </x:row>
    <x:row r="24" ht="40" customHeight="1">
      <x:c r="A24" s="22" t="str">
        <x:v>R19</x:v>
      </x:c>
      <x:c r="B24" s="22" t="str">
        <x:v>可选萤石CaF₂</x:v>
      </x:c>
      <x:c r="C24" s="22" t="str">
        <x:v>kg有效组分当量</x:v>
      </x:c>
      <x:c r="D24" s="34" t="n">
        <x:f>0</x:f>
        <x:v>0</x:v>
      </x:c>
      <x:c r="E24" s="34" t="n">
        <x:f>0</x:f>
        <x:v>0</x:v>
      </x:c>
      <x:c r="F24" s="34" t="n">
        <x:f>0</x:f>
        <x:v>0</x:v>
      </x:c>
      <x:c r="G24" s="34" t="n">
        <x:f>0</x:f>
        <x:v>0</x:v>
      </x:c>
      <x:c r="H24" s="34" t="n">
        <x:f>0</x:f>
        <x:v>0</x:v>
      </x:c>
      <x:c r="I24" s="34" t="n">
        <x:f>0</x:f>
        <x:v>0</x:v>
      </x:c>
      <x:c r="J24" s="34" t="n">
        <x:f>0</x:f>
        <x:v>0</x:v>
      </x:c>
      <x:c r="K24" s="34" t="n">
        <x:f>0</x:f>
        <x:v>0</x:v>
      </x:c>
      <x:c r="L24" s="34" t="n">
        <x:f>0</x:f>
        <x:v>0</x:v>
      </x:c>
      <x:c r="M24" s="34" t="n">
        <x:f>0</x:f>
        <x:v>0</x:v>
      </x:c>
      <x:c r="N24" s="34" t="n">
        <x:f>0</x:f>
        <x:v>0</x:v>
      </x:c>
      <x:c r="O24" s="34" t="n">
        <x:f>0</x:f>
        <x:v>0</x:v>
      </x:c>
      <x:c r="P24" s="34" t="n">
        <x:f>0</x:f>
        <x:v>0</x:v>
      </x:c>
      <x:c r="Q24" s="34" t="n">
        <x:f>0</x:f>
        <x:v>0</x:v>
      </x:c>
      <x:c r="R24" s="34" t="n">
        <x:f>0</x:f>
        <x:v>0</x:v>
      </x:c>
      <x:c r="S24" s="34" t="n">
        <x:f>0</x:f>
        <x:v>0</x:v>
      </x:c>
      <x:c r="T24" s="34" t="n">
        <x:f>0</x:f>
        <x:v>0</x:v>
      </x:c>
      <x:c r="U24" s="34" t="n">
        <x:f>0</x:f>
        <x:v>0</x:v>
      </x:c>
      <x:c r="V24" s="34" t="n">
        <x:f>1</x:f>
        <x:v>1</x:v>
      </x:c>
      <x:c r="W24" s="34" t="n">
        <x:f>0</x:f>
        <x:v>0</x:v>
      </x:c>
      <x:c r="X24" s="34" t="n">
        <x:f>0</x:f>
        <x:v>0</x:v>
      </x:c>
      <x:c r="Y24" s="34" t="n">
        <x:f>0</x:f>
        <x:v>0</x:v>
      </x:c>
      <x:c r="Z24" s="34" t="n">
        <x:f>0</x:f>
        <x:v>0</x:v>
      </x:c>
      <x:c r="AA24" s="34" t="n">
        <x:f>0</x:f>
        <x:v>0</x:v>
      </x:c>
      <x:c r="AB24" s="34" t="n">
        <x:f>0</x:f>
        <x:v>0</x:v>
      </x:c>
      <x:c r="AC24" s="34" t="n">
        <x:f>0</x:f>
        <x:v>0</x:v>
      </x:c>
    </x:row>
    <x:row r="25" ht="40" customHeight="1">
      <x:c r="A25" s="22" t="str">
        <x:v>R20</x:v>
      </x:c>
      <x:c r="B25" s="22" t="str">
        <x:v>可选锡矿SnO₂</x:v>
      </x:c>
      <x:c r="C25" s="22" t="str">
        <x:v>kg有效组分当量</x:v>
      </x:c>
      <x:c r="D25" s="34" t="n">
        <x:f>0</x:f>
        <x:v>0</x:v>
      </x:c>
      <x:c r="E25" s="34" t="n">
        <x:f>0</x:f>
        <x:v>0</x:v>
      </x:c>
      <x:c r="F25" s="34" t="n">
        <x:f>0</x:f>
        <x:v>0</x:v>
      </x:c>
      <x:c r="G25" s="34" t="n">
        <x:f>0</x:f>
        <x:v>0</x:v>
      </x:c>
      <x:c r="H25" s="34" t="n">
        <x:f>0</x:f>
        <x:v>0</x:v>
      </x:c>
      <x:c r="I25" s="34" t="n">
        <x:f>0</x:f>
        <x:v>0</x:v>
      </x:c>
      <x:c r="J25" s="34" t="n">
        <x:f>0</x:f>
        <x:v>0</x:v>
      </x:c>
      <x:c r="K25" s="34" t="n">
        <x:f>0</x:f>
        <x:v>0</x:v>
      </x:c>
      <x:c r="L25" s="34" t="n">
        <x:f>0</x:f>
        <x:v>0</x:v>
      </x:c>
      <x:c r="M25" s="34" t="n">
        <x:f>0</x:f>
        <x:v>0</x:v>
      </x:c>
      <x:c r="N25" s="34" t="n">
        <x:f>0</x:f>
        <x:v>0</x:v>
      </x:c>
      <x:c r="O25" s="34" t="n">
        <x:f>0</x:f>
        <x:v>0</x:v>
      </x:c>
      <x:c r="P25" s="34" t="n">
        <x:f>0</x:f>
        <x:v>0</x:v>
      </x:c>
      <x:c r="Q25" s="34" t="n">
        <x:f>0</x:f>
        <x:v>0</x:v>
      </x:c>
      <x:c r="R25" s="34" t="n">
        <x:f>0</x:f>
        <x:v>0</x:v>
      </x:c>
      <x:c r="S25" s="34" t="n">
        <x:f>0</x:f>
        <x:v>0</x:v>
      </x:c>
      <x:c r="T25" s="34" t="n">
        <x:f>0</x:f>
        <x:v>0</x:v>
      </x:c>
      <x:c r="U25" s="34" t="n">
        <x:f>0</x:f>
        <x:v>0</x:v>
      </x:c>
      <x:c r="V25" s="34" t="n">
        <x:f>0</x:f>
        <x:v>0</x:v>
      </x:c>
      <x:c r="W25" s="34" t="n">
        <x:f>1</x:f>
        <x:v>1</x:v>
      </x:c>
      <x:c r="X25" s="34" t="n">
        <x:f>0</x:f>
        <x:v>0</x:v>
      </x:c>
      <x:c r="Y25" s="34" t="n">
        <x:f>0</x:f>
        <x:v>0</x:v>
      </x:c>
      <x:c r="Z25" s="34" t="n">
        <x:f>0</x:f>
        <x:v>0</x:v>
      </x:c>
      <x:c r="AA25" s="34" t="n">
        <x:f>0</x:f>
        <x:v>0</x:v>
      </x:c>
      <x:c r="AB25" s="34" t="n">
        <x:f>0</x:f>
        <x:v>0</x:v>
      </x:c>
      <x:c r="AC25" s="34" t="n">
        <x:f>0</x:f>
        <x:v>0</x:v>
      </x:c>
    </x:row>
    <x:row r="26" ht="40" customHeight="1">
      <x:c r="A26" s="22" t="str">
        <x:v>R21</x:v>
      </x:c>
      <x:c r="B26" s="22" t="str">
        <x:v>石膏CaSO₄·2H₂O</x:v>
      </x:c>
      <x:c r="C26" s="22" t="str">
        <x:v>kg有效组分当量</x:v>
      </x:c>
      <x:c r="D26" s="34" t="n">
        <x:f>0</x:f>
        <x:v>0</x:v>
      </x:c>
      <x:c r="E26" s="34" t="n">
        <x:f>0</x:f>
        <x:v>0</x:v>
      </x:c>
      <x:c r="F26" s="34" t="n">
        <x:f>0</x:f>
        <x:v>0</x:v>
      </x:c>
      <x:c r="G26" s="34" t="n">
        <x:f>0</x:f>
        <x:v>0</x:v>
      </x:c>
      <x:c r="H26" s="34" t="n">
        <x:f>0</x:f>
        <x:v>0</x:v>
      </x:c>
      <x:c r="I26" s="34" t="n">
        <x:f>0</x:f>
        <x:v>0</x:v>
      </x:c>
      <x:c r="J26" s="34" t="n">
        <x:f>0</x:f>
        <x:v>0</x:v>
      </x:c>
      <x:c r="K26" s="34" t="n">
        <x:f>0</x:f>
        <x:v>0</x:v>
      </x:c>
      <x:c r="L26" s="34" t="n">
        <x:f>0</x:f>
        <x:v>0</x:v>
      </x:c>
      <x:c r="M26" s="34" t="n">
        <x:f>0</x:f>
        <x:v>0</x:v>
      </x:c>
      <x:c r="N26" s="34" t="n">
        <x:f>0</x:f>
        <x:v>0</x:v>
      </x:c>
      <x:c r="O26" s="34" t="n">
        <x:f>0</x:f>
        <x:v>0</x:v>
      </x:c>
      <x:c r="P26" s="34" t="n">
        <x:f>0</x:f>
        <x:v>0</x:v>
      </x:c>
      <x:c r="Q26" s="34" t="n">
        <x:f>0</x:f>
        <x:v>0</x:v>
      </x:c>
      <x:c r="R26" s="34" t="n">
        <x:f>0</x:f>
        <x:v>0</x:v>
      </x:c>
      <x:c r="S26" s="34" t="n">
        <x:f>0</x:f>
        <x:v>0</x:v>
      </x:c>
      <x:c r="T26" s="34" t="n">
        <x:f>0</x:f>
        <x:v>0</x:v>
      </x:c>
      <x:c r="U26" s="34" t="n">
        <x:f>0</x:f>
        <x:v>0</x:v>
      </x:c>
      <x:c r="V26" s="34" t="n">
        <x:f>0</x:f>
        <x:v>0</x:v>
      </x:c>
      <x:c r="W26" s="34" t="n">
        <x:f>0</x:f>
        <x:v>0</x:v>
      </x:c>
      <x:c r="X26" s="34" t="n">
        <x:f>1</x:f>
        <x:v>1</x:v>
      </x:c>
      <x:c r="Y26" s="34" t="n">
        <x:f>0</x:f>
        <x:v>0</x:v>
      </x:c>
      <x:c r="Z26" s="34" t="n">
        <x:f>0</x:f>
        <x:v>0</x:v>
      </x:c>
      <x:c r="AA26" s="34" t="n">
        <x:f>0</x:f>
        <x:v>0</x:v>
      </x:c>
      <x:c r="AB26" s="34" t="n">
        <x:f>0</x:f>
        <x:v>0</x:v>
      </x:c>
      <x:c r="AC26" s="34" t="n">
        <x:f>0</x:f>
        <x:v>0</x:v>
      </x:c>
    </x:row>
    <x:row r="27" ht="40" customHeight="1">
      <x:c r="A27" s="22" t="str">
        <x:v>X01</x:v>
      </x:c>
      <x:c r="B27" s="22" t="str">
        <x:v>电子/控制器成套件</x:v>
      </x:c>
      <x:c r="C27" s="22" t="str">
        <x:v>kg</x:v>
      </x:c>
      <x:c r="D27" s="34" t="n">
        <x:f>0</x:f>
        <x:v>0</x:v>
      </x:c>
      <x:c r="E27" s="34" t="n">
        <x:f>0</x:f>
        <x:v>0</x:v>
      </x:c>
      <x:c r="F27" s="34" t="n">
        <x:f>0</x:f>
        <x:v>0</x:v>
      </x:c>
      <x:c r="G27" s="34" t="n">
        <x:f>0</x:f>
        <x:v>0</x:v>
      </x:c>
      <x:c r="H27" s="34" t="n">
        <x:f>0</x:f>
        <x:v>0</x:v>
      </x:c>
      <x:c r="I27" s="34" t="n">
        <x:f>0</x:f>
        <x:v>0</x:v>
      </x:c>
      <x:c r="J27" s="34" t="n">
        <x:f>0</x:f>
        <x:v>0</x:v>
      </x:c>
      <x:c r="K27" s="34" t="n">
        <x:f>0</x:f>
        <x:v>0</x:v>
      </x:c>
      <x:c r="L27" s="34" t="n">
        <x:f>0</x:f>
        <x:v>0</x:v>
      </x:c>
      <x:c r="M27" s="34" t="n">
        <x:f>0</x:f>
        <x:v>0</x:v>
      </x:c>
      <x:c r="N27" s="34" t="n">
        <x:f>0</x:f>
        <x:v>0</x:v>
      </x:c>
      <x:c r="O27" s="34" t="n">
        <x:f>0</x:f>
        <x:v>0</x:v>
      </x:c>
      <x:c r="P27" s="34" t="n">
        <x:f>0</x:f>
        <x:v>0</x:v>
      </x:c>
      <x:c r="Q27" s="34" t="n">
        <x:f>0</x:f>
        <x:v>0</x:v>
      </x:c>
      <x:c r="R27" s="34" t="n">
        <x:f>0</x:f>
        <x:v>0</x:v>
      </x:c>
      <x:c r="S27" s="34" t="n">
        <x:f>0</x:f>
        <x:v>0</x:v>
      </x:c>
      <x:c r="T27" s="34" t="n">
        <x:f>0</x:f>
        <x:v>0</x:v>
      </x:c>
      <x:c r="U27" s="34" t="n">
        <x:f>0</x:f>
        <x:v>0</x:v>
      </x:c>
      <x:c r="V27" s="34" t="n">
        <x:f>0</x:f>
        <x:v>0</x:v>
      </x:c>
      <x:c r="W27" s="34" t="n">
        <x:f>0</x:f>
        <x:v>0</x:v>
      </x:c>
      <x:c r="X27" s="34" t="n">
        <x:f>0</x:f>
        <x:v>0</x:v>
      </x:c>
      <x:c r="Y27" s="34" t="n">
        <x:f>1</x:f>
        <x:v>1</x:v>
      </x:c>
      <x:c r="Z27" s="34" t="n">
        <x:f>0</x:f>
        <x:v>0</x:v>
      </x:c>
      <x:c r="AA27" s="34" t="n">
        <x:f>0</x:f>
        <x:v>0</x:v>
      </x:c>
      <x:c r="AB27" s="34" t="n">
        <x:f>0</x:f>
        <x:v>0</x:v>
      </x:c>
      <x:c r="AC27" s="34" t="n">
        <x:f>0</x:f>
        <x:v>0</x:v>
      </x:c>
    </x:row>
    <x:row r="28" ht="40" customHeight="1">
      <x:c r="A28" s="22" t="str">
        <x:v>X02</x:v>
      </x:c>
      <x:c r="B28" s="22" t="str">
        <x:v>精密加工/轴承/刀具成套件</x:v>
      </x:c>
      <x:c r="C28" s="22" t="str">
        <x:v>kg</x:v>
      </x:c>
      <x:c r="D28" s="34" t="n">
        <x:f>0</x:f>
        <x:v>0</x:v>
      </x:c>
      <x:c r="E28" s="34" t="n">
        <x:f>0</x:f>
        <x:v>0</x:v>
      </x:c>
      <x:c r="F28" s="34" t="n">
        <x:f>0</x:f>
        <x:v>0</x:v>
      </x:c>
      <x:c r="G28" s="34" t="n">
        <x:f>0</x:f>
        <x:v>0</x:v>
      </x:c>
      <x:c r="H28" s="34" t="n">
        <x:f>0</x:f>
        <x:v>0</x:v>
      </x:c>
      <x:c r="I28" s="34" t="n">
        <x:f>0</x:f>
        <x:v>0</x:v>
      </x:c>
      <x:c r="J28" s="34" t="n">
        <x:f>0</x:f>
        <x:v>0</x:v>
      </x:c>
      <x:c r="K28" s="34" t="n">
        <x:f>0</x:f>
        <x:v>0</x:v>
      </x:c>
      <x:c r="L28" s="34" t="n">
        <x:f>0</x:f>
        <x:v>0</x:v>
      </x:c>
      <x:c r="M28" s="34" t="n">
        <x:f>0</x:f>
        <x:v>0</x:v>
      </x:c>
      <x:c r="N28" s="34" t="n">
        <x:f>0</x:f>
        <x:v>0</x:v>
      </x:c>
      <x:c r="O28" s="34" t="n">
        <x:f>0</x:f>
        <x:v>0</x:v>
      </x:c>
      <x:c r="P28" s="34" t="n">
        <x:f>0</x:f>
        <x:v>0</x:v>
      </x:c>
      <x:c r="Q28" s="34" t="n">
        <x:f>0</x:f>
        <x:v>0</x:v>
      </x:c>
      <x:c r="R28" s="34" t="n">
        <x:f>0</x:f>
        <x:v>0</x:v>
      </x:c>
      <x:c r="S28" s="34" t="n">
        <x:f>0</x:f>
        <x:v>0</x:v>
      </x:c>
      <x:c r="T28" s="34" t="n">
        <x:f>0</x:f>
        <x:v>0</x:v>
      </x:c>
      <x:c r="U28" s="34" t="n">
        <x:f>0</x:f>
        <x:v>0</x:v>
      </x:c>
      <x:c r="V28" s="34" t="n">
        <x:f>0</x:f>
        <x:v>0</x:v>
      </x:c>
      <x:c r="W28" s="34" t="n">
        <x:f>0</x:f>
        <x:v>0</x:v>
      </x:c>
      <x:c r="X28" s="34" t="n">
        <x:f>0</x:f>
        <x:v>0</x:v>
      </x:c>
      <x:c r="Y28" s="34" t="n">
        <x:f>0</x:f>
        <x:v>0</x:v>
      </x:c>
      <x:c r="Z28" s="34" t="n">
        <x:f>1</x:f>
        <x:v>1</x:v>
      </x:c>
      <x:c r="AA28" s="34" t="n">
        <x:f>0</x:f>
        <x:v>0</x:v>
      </x:c>
      <x:c r="AB28" s="34" t="n">
        <x:f>0</x:f>
        <x:v>0</x:v>
      </x:c>
      <x:c r="AC28" s="34" t="n">
        <x:f>0</x:f>
        <x:v>0</x:v>
      </x:c>
    </x:row>
    <x:row r="29" ht="40" customHeight="1">
      <x:c r="A29" s="22" t="str">
        <x:v>X03</x:v>
      </x:c>
      <x:c r="B29" s="22" t="str">
        <x:v>特种膜/隔膜/催化辅材包</x:v>
      </x:c>
      <x:c r="C29" s="22" t="str">
        <x:v>kg</x:v>
      </x:c>
      <x:c r="D29" s="34" t="n">
        <x:f>0</x:f>
        <x:v>0</x:v>
      </x:c>
      <x:c r="E29" s="34" t="n">
        <x:f>0</x:f>
        <x:v>0</x:v>
      </x:c>
      <x:c r="F29" s="34" t="n">
        <x:f>0</x:f>
        <x:v>0</x:v>
      </x:c>
      <x:c r="G29" s="34" t="n">
        <x:f>0</x:f>
        <x:v>0</x:v>
      </x:c>
      <x:c r="H29" s="34" t="n">
        <x:f>0</x:f>
        <x:v>0</x:v>
      </x:c>
      <x:c r="I29" s="34" t="n">
        <x:f>0</x:f>
        <x:v>0</x:v>
      </x:c>
      <x:c r="J29" s="34" t="n">
        <x:f>0</x:f>
        <x:v>0</x:v>
      </x:c>
      <x:c r="K29" s="34" t="n">
        <x:f>0</x:f>
        <x:v>0</x:v>
      </x:c>
      <x:c r="L29" s="34" t="n">
        <x:f>0</x:f>
        <x:v>0</x:v>
      </x:c>
      <x:c r="M29" s="34" t="n">
        <x:f>0</x:f>
        <x:v>0</x:v>
      </x:c>
      <x:c r="N29" s="34" t="n">
        <x:f>0</x:f>
        <x:v>0</x:v>
      </x:c>
      <x:c r="O29" s="34" t="n">
        <x:f>0</x:f>
        <x:v>0</x:v>
      </x:c>
      <x:c r="P29" s="34" t="n">
        <x:f>0</x:f>
        <x:v>0</x:v>
      </x:c>
      <x:c r="Q29" s="34" t="n">
        <x:f>0</x:f>
        <x:v>0</x:v>
      </x:c>
      <x:c r="R29" s="34" t="n">
        <x:f>0</x:f>
        <x:v>0</x:v>
      </x:c>
      <x:c r="S29" s="34" t="n">
        <x:f>0</x:f>
        <x:v>0</x:v>
      </x:c>
      <x:c r="T29" s="34" t="n">
        <x:f>0</x:f>
        <x:v>0</x:v>
      </x:c>
      <x:c r="U29" s="34" t="n">
        <x:f>0</x:f>
        <x:v>0</x:v>
      </x:c>
      <x:c r="V29" s="34" t="n">
        <x:f>0</x:f>
        <x:v>0</x:v>
      </x:c>
      <x:c r="W29" s="34" t="n">
        <x:f>0</x:f>
        <x:v>0</x:v>
      </x:c>
      <x:c r="X29" s="34" t="n">
        <x:f>0</x:f>
        <x:v>0</x:v>
      </x:c>
      <x:c r="Y29" s="34" t="n">
        <x:f>0</x:f>
        <x:v>0</x:v>
      </x:c>
      <x:c r="Z29" s="34" t="n">
        <x:f>0</x:f>
        <x:v>0</x:v>
      </x:c>
      <x:c r="AA29" s="34" t="n">
        <x:f>1</x:f>
        <x:v>1</x:v>
      </x:c>
      <x:c r="AB29" s="34" t="n">
        <x:f>0</x:f>
        <x:v>0</x:v>
      </x:c>
      <x:c r="AC29" s="34" t="n">
        <x:f>0</x:f>
        <x:v>0</x:v>
      </x:c>
    </x:row>
    <x:row r="30" ht="40" customHeight="1">
      <x:c r="A30" s="22" t="str">
        <x:v>X04</x:v>
      </x:c>
      <x:c r="B30" s="22" t="str">
        <x:v>光伏纯化/电池制程辅材包</x:v>
      </x:c>
      <x:c r="C30" s="22" t="str">
        <x:v>kg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  <x:c r="L30" s="34" t="n">
        <x:f>0</x:f>
        <x:v>0</x:v>
      </x:c>
      <x:c r="M30" s="34" t="n">
        <x:f>0</x:f>
        <x:v>0</x:v>
      </x:c>
      <x:c r="N30" s="34" t="n">
        <x:f>0</x:f>
        <x:v>0</x:v>
      </x:c>
      <x:c r="O30" s="34" t="n">
        <x:f>0</x:f>
        <x:v>0</x:v>
      </x:c>
      <x:c r="P30" s="34" t="n">
        <x:f>0</x:f>
        <x:v>0</x:v>
      </x:c>
      <x:c r="Q30" s="34" t="n">
        <x:f>0</x:f>
        <x:v>0</x:v>
      </x:c>
      <x:c r="R30" s="34" t="n">
        <x:f>0</x:f>
        <x:v>0</x:v>
      </x:c>
      <x:c r="S30" s="34" t="n">
        <x:f>0</x:f>
        <x:v>0</x:v>
      </x:c>
      <x:c r="T30" s="34" t="n">
        <x:f>0</x:f>
        <x:v>0</x:v>
      </x:c>
      <x:c r="U30" s="34" t="n">
        <x:f>0</x:f>
        <x:v>0</x:v>
      </x:c>
      <x:c r="V30" s="34" t="n">
        <x:f>0</x:f>
        <x:v>0</x:v>
      </x:c>
      <x:c r="W30" s="34" t="n">
        <x:f>0</x:f>
        <x:v>0</x:v>
      </x:c>
      <x:c r="X30" s="34" t="n">
        <x:f>0</x:f>
        <x:v>0</x:v>
      </x:c>
      <x:c r="Y30" s="34" t="n">
        <x:f>0</x:f>
        <x:v>0</x:v>
      </x:c>
      <x:c r="Z30" s="34" t="n">
        <x:f>0</x:f>
        <x:v>0</x:v>
      </x:c>
      <x:c r="AA30" s="34" t="n">
        <x:f>0</x:f>
        <x:v>0</x:v>
      </x:c>
      <x:c r="AB30" s="34" t="n">
        <x:f>1</x:f>
        <x:v>1</x:v>
      </x:c>
      <x:c r="AC30" s="34" t="n">
        <x:f>0</x:f>
        <x:v>0</x:v>
      </x:c>
    </x:row>
    <x:row r="31" ht="40" customHeight="1">
      <x:c r="A31" s="22" t="str">
        <x:v>X05</x:v>
      </x:c>
      <x:c r="B31" s="22" t="str">
        <x:v>农业微量元素/螯合配方包</x:v>
      </x:c>
      <x:c r="C31" s="22" t="str">
        <x:v>kg</x:v>
      </x:c>
      <x:c r="D31" s="34" t="n">
        <x:f>0</x:f>
        <x:v>0</x:v>
      </x:c>
      <x:c r="E31" s="34" t="n">
        <x:f>0</x:f>
        <x:v>0</x:v>
      </x:c>
      <x:c r="F31" s="34" t="n">
        <x:f>0</x:f>
        <x:v>0</x:v>
      </x:c>
      <x:c r="G31" s="34" t="n">
        <x:f>0</x:f>
        <x:v>0</x:v>
      </x:c>
      <x:c r="H31" s="34" t="n">
        <x:f>0</x:f>
        <x:v>0</x:v>
      </x:c>
      <x:c r="I31" s="34" t="n">
        <x:f>0</x:f>
        <x:v>0</x:v>
      </x:c>
      <x:c r="J31" s="34" t="n">
        <x:f>0</x:f>
        <x:v>0</x:v>
      </x:c>
      <x:c r="K31" s="34" t="n">
        <x:f>0</x:f>
        <x:v>0</x:v>
      </x:c>
      <x:c r="L31" s="34" t="n">
        <x:f>0</x:f>
        <x:v>0</x:v>
      </x:c>
      <x:c r="M31" s="34" t="n">
        <x:f>0</x:f>
        <x:v>0</x:v>
      </x:c>
      <x:c r="N31" s="34" t="n">
        <x:f>0</x:f>
        <x:v>0</x:v>
      </x:c>
      <x:c r="O31" s="34" t="n">
        <x:f>0</x:f>
        <x:v>0</x:v>
      </x:c>
      <x:c r="P31" s="34" t="n">
        <x:f>0</x:f>
        <x:v>0</x:v>
      </x:c>
      <x:c r="Q31" s="34" t="n">
        <x:f>0</x:f>
        <x:v>0</x:v>
      </x:c>
      <x:c r="R31" s="34" t="n">
        <x:f>0</x:f>
        <x:v>0</x:v>
      </x:c>
      <x:c r="S31" s="34" t="n">
        <x:f>0</x:f>
        <x:v>0</x:v>
      </x:c>
      <x:c r="T31" s="34" t="n">
        <x:f>0</x:f>
        <x:v>0</x:v>
      </x:c>
      <x:c r="U31" s="34" t="n">
        <x:f>0</x:f>
        <x:v>0</x:v>
      </x:c>
      <x:c r="V31" s="34" t="n">
        <x:f>0</x:f>
        <x:v>0</x:v>
      </x:c>
      <x:c r="W31" s="34" t="n">
        <x:f>0</x:f>
        <x:v>0</x:v>
      </x:c>
      <x:c r="X31" s="34" t="n">
        <x:f>0</x:f>
        <x:v>0</x:v>
      </x:c>
      <x:c r="Y31" s="34" t="n">
        <x:f>0</x:f>
        <x:v>0</x:v>
      </x:c>
      <x:c r="Z31" s="34" t="n">
        <x:f>0</x:f>
        <x:v>0</x:v>
      </x:c>
      <x:c r="AA31" s="34" t="n">
        <x:f>0</x:f>
        <x:v>0</x:v>
      </x:c>
      <x:c r="AB31" s="34" t="n">
        <x:f>0</x:f>
        <x:v>0</x:v>
      </x:c>
      <x:c r="AC31" s="34" t="n">
        <x:f>1</x:f>
        <x:v>1</x:v>
      </x:c>
    </x:row>
    <x:row r="32" ht="40" customHeight="1">
      <x:c r="A32" s="22" t="str">
        <x:v>M_W</x:v>
      </x:c>
      <x:c r="B32" s="22" t="str">
        <x:v>净水</x:v>
      </x:c>
      <x:c r="C32" s="22" t="str">
        <x:v>kg</x:v>
      </x:c>
      <x:c r="D32" s="34" t="n">
        <x:f>'直接配方'!$F$6*D6</x:f>
        <x:v>1</x:v>
      </x:c>
      <x:c r="E32" s="34" t="n">
        <x:f>'直接配方'!$F$6*E6</x:f>
        <x:v>0</x:v>
      </x:c>
      <x:c r="F32" s="34" t="n">
        <x:f>'直接配方'!$F$6*F6</x:f>
        <x:v>0</x:v>
      </x:c>
      <x:c r="G32" s="34" t="n">
        <x:f>'直接配方'!$F$6*G6</x:f>
        <x:v>0</x:v>
      </x:c>
      <x:c r="H32" s="34" t="n">
        <x:f>'直接配方'!$F$6*H6</x:f>
        <x:v>0</x:v>
      </x:c>
      <x:c r="I32" s="34" t="n">
        <x:f>'直接配方'!$F$6*I6</x:f>
        <x:v>0</x:v>
      </x:c>
      <x:c r="J32" s="34" t="n">
        <x:f>'直接配方'!$F$6*J6</x:f>
        <x:v>0</x:v>
      </x:c>
      <x:c r="K32" s="34" t="n">
        <x:f>'直接配方'!$F$6*K6</x:f>
        <x:v>0</x:v>
      </x:c>
      <x:c r="L32" s="34" t="n">
        <x:f>'直接配方'!$F$6*L6</x:f>
        <x:v>0</x:v>
      </x:c>
      <x:c r="M32" s="34" t="n">
        <x:f>'直接配方'!$F$6*M6</x:f>
        <x:v>0</x:v>
      </x:c>
      <x:c r="N32" s="34" t="n">
        <x:f>'直接配方'!$F$6*N6</x:f>
        <x:v>0</x:v>
      </x:c>
      <x:c r="O32" s="34" t="n">
        <x:f>'直接配方'!$F$6*O6</x:f>
        <x:v>0</x:v>
      </x:c>
      <x:c r="P32" s="34" t="n">
        <x:f>'直接配方'!$F$6*P6</x:f>
        <x:v>0</x:v>
      </x:c>
      <x:c r="Q32" s="34" t="n">
        <x:f>'直接配方'!$F$6*Q6</x:f>
        <x:v>0</x:v>
      </x:c>
      <x:c r="R32" s="34" t="n">
        <x:f>'直接配方'!$F$6*R6</x:f>
        <x:v>0</x:v>
      </x:c>
      <x:c r="S32" s="34" t="n">
        <x:f>'直接配方'!$F$6*S6</x:f>
        <x:v>0</x:v>
      </x:c>
      <x:c r="T32" s="34" t="n">
        <x:f>'直接配方'!$F$6*T6</x:f>
        <x:v>0</x:v>
      </x:c>
      <x:c r="U32" s="34" t="n">
        <x:f>'直接配方'!$F$6*U6</x:f>
        <x:v>0</x:v>
      </x:c>
      <x:c r="V32" s="34" t="n">
        <x:f>'直接配方'!$F$6*V6</x:f>
        <x:v>0</x:v>
      </x:c>
      <x:c r="W32" s="34" t="n">
        <x:f>'直接配方'!$F$6*W6</x:f>
        <x:v>0</x:v>
      </x:c>
      <x:c r="X32" s="34" t="n">
        <x:f>'直接配方'!$F$6*X6</x:f>
        <x:v>0</x:v>
      </x:c>
      <x:c r="Y32" s="34" t="n">
        <x:f>'直接配方'!$F$6*Y6</x:f>
        <x:v>0</x:v>
      </x:c>
      <x:c r="Z32" s="34" t="n">
        <x:f>'直接配方'!$F$6*Z6</x:f>
        <x:v>0</x:v>
      </x:c>
      <x:c r="AA32" s="34" t="n">
        <x:f>'直接配方'!$F$6*AA6</x:f>
        <x:v>0</x:v>
      </x:c>
      <x:c r="AB32" s="34" t="n">
        <x:f>'直接配方'!$F$6*AB6</x:f>
        <x:v>0</x:v>
      </x:c>
      <x:c r="AC32" s="34" t="n">
        <x:f>'直接配方'!$F$6*AC6</x:f>
        <x:v>0</x:v>
      </x:c>
    </x:row>
    <x:row r="33" ht="40" customHeight="1">
      <x:c r="A33" s="22" t="str">
        <x:v>M_H2</x:v>
      </x:c>
      <x:c r="B33" s="22" t="str">
        <x:v>氢气</x:v>
      </x:c>
      <x:c r="C33" s="22" t="str">
        <x:v>kg</x:v>
      </x:c>
      <x:c r="D33" s="34" t="n">
        <x:f>'直接配方'!$F$7*D32</x:f>
        <x:v>8.936011904761905</x:v>
      </x:c>
      <x:c r="E33" s="34" t="n">
        <x:f>'直接配方'!$F$7*E32</x:f>
        <x:v>0</x:v>
      </x:c>
      <x:c r="F33" s="34" t="n">
        <x:f>'直接配方'!$F$7*F32</x:f>
        <x:v>0</x:v>
      </x:c>
      <x:c r="G33" s="34" t="n">
        <x:f>'直接配方'!$F$7*G32</x:f>
        <x:v>0</x:v>
      </x:c>
      <x:c r="H33" s="34" t="n">
        <x:f>'直接配方'!$F$7*H32</x:f>
        <x:v>0</x:v>
      </x:c>
      <x:c r="I33" s="34" t="n">
        <x:f>'直接配方'!$F$7*I32</x:f>
        <x:v>0</x:v>
      </x:c>
      <x:c r="J33" s="34" t="n">
        <x:f>'直接配方'!$F$7*J32</x:f>
        <x:v>0</x:v>
      </x:c>
      <x:c r="K33" s="34" t="n">
        <x:f>'直接配方'!$F$7*K32</x:f>
        <x:v>0</x:v>
      </x:c>
      <x:c r="L33" s="34" t="n">
        <x:f>'直接配方'!$F$7*L32</x:f>
        <x:v>0</x:v>
      </x:c>
      <x:c r="M33" s="34" t="n">
        <x:f>'直接配方'!$F$7*M32</x:f>
        <x:v>0</x:v>
      </x:c>
      <x:c r="N33" s="34" t="n">
        <x:f>'直接配方'!$F$7*N32</x:f>
        <x:v>0</x:v>
      </x:c>
      <x:c r="O33" s="34" t="n">
        <x:f>'直接配方'!$F$7*O32</x:f>
        <x:v>0</x:v>
      </x:c>
      <x:c r="P33" s="34" t="n">
        <x:f>'直接配方'!$F$7*P32</x:f>
        <x:v>0</x:v>
      </x:c>
      <x:c r="Q33" s="34" t="n">
        <x:f>'直接配方'!$F$7*Q32</x:f>
        <x:v>0</x:v>
      </x:c>
      <x:c r="R33" s="34" t="n">
        <x:f>'直接配方'!$F$7*R32</x:f>
        <x:v>0</x:v>
      </x:c>
      <x:c r="S33" s="34" t="n">
        <x:f>'直接配方'!$F$7*S32</x:f>
        <x:v>0</x:v>
      </x:c>
      <x:c r="T33" s="34" t="n">
        <x:f>'直接配方'!$F$7*T32</x:f>
        <x:v>0</x:v>
      </x:c>
      <x:c r="U33" s="34" t="n">
        <x:f>'直接配方'!$F$7*U32</x:f>
        <x:v>0</x:v>
      </x:c>
      <x:c r="V33" s="34" t="n">
        <x:f>'直接配方'!$F$7*V32</x:f>
        <x:v>0</x:v>
      </x:c>
      <x:c r="W33" s="34" t="n">
        <x:f>'直接配方'!$F$7*W32</x:f>
        <x:v>0</x:v>
      </x:c>
      <x:c r="X33" s="34" t="n">
        <x:f>'直接配方'!$F$7*X32</x:f>
        <x:v>0</x:v>
      </x:c>
      <x:c r="Y33" s="34" t="n">
        <x:f>'直接配方'!$F$7*Y32</x:f>
        <x:v>0</x:v>
      </x:c>
      <x:c r="Z33" s="34" t="n">
        <x:f>'直接配方'!$F$7*Z32</x:f>
        <x:v>0</x:v>
      </x:c>
      <x:c r="AA33" s="34" t="n">
        <x:f>'直接配方'!$F$7*AA32</x:f>
        <x:v>0</x:v>
      </x:c>
      <x:c r="AB33" s="34" t="n">
        <x:f>'直接配方'!$F$7*AB32</x:f>
        <x:v>0</x:v>
      </x:c>
      <x:c r="AC33" s="34" t="n">
        <x:f>'直接配方'!$F$7*AC32</x:f>
        <x:v>0</x:v>
      </x:c>
    </x:row>
    <x:row r="34" ht="40" customHeight="1">
      <x:c r="A34" s="22" t="str">
        <x:v>M_O2</x:v>
      </x:c>
      <x:c r="B34" s="22" t="str">
        <x:v>氧气</x:v>
      </x:c>
      <x:c r="C34" s="22" t="str">
        <x:v>kg</x:v>
      </x:c>
      <x:c r="D34" s="34" t="n">
        <x:f>'直接配方'!$F$8*D7</x:f>
        <x:v>0</x:v>
      </x:c>
      <x:c r="E34" s="34" t="n">
        <x:f>'直接配方'!$F$8*E7</x:f>
        <x:v>2.7507344209013063</x:v>
      </x:c>
      <x:c r="F34" s="34" t="n">
        <x:f>'直接配方'!$F$8*F7</x:f>
        <x:v>0</x:v>
      </x:c>
      <x:c r="G34" s="34" t="n">
        <x:f>'直接配方'!$F$8*G7</x:f>
        <x:v>0</x:v>
      </x:c>
      <x:c r="H34" s="34" t="n">
        <x:f>'直接配方'!$F$8*H7</x:f>
        <x:v>0</x:v>
      </x:c>
      <x:c r="I34" s="34" t="n">
        <x:f>'直接配方'!$F$8*I7</x:f>
        <x:v>0</x:v>
      </x:c>
      <x:c r="J34" s="34" t="n">
        <x:f>'直接配方'!$F$8*J7</x:f>
        <x:v>0</x:v>
      </x:c>
      <x:c r="K34" s="34" t="n">
        <x:f>'直接配方'!$F$8*K7</x:f>
        <x:v>0</x:v>
      </x:c>
      <x:c r="L34" s="34" t="n">
        <x:f>'直接配方'!$F$8*L7</x:f>
        <x:v>0</x:v>
      </x:c>
      <x:c r="M34" s="34" t="n">
        <x:f>'直接配方'!$F$8*M7</x:f>
        <x:v>0</x:v>
      </x:c>
      <x:c r="N34" s="34" t="n">
        <x:f>'直接配方'!$F$8*N7</x:f>
        <x:v>0</x:v>
      </x:c>
      <x:c r="O34" s="34" t="n">
        <x:f>'直接配方'!$F$8*O7</x:f>
        <x:v>0</x:v>
      </x:c>
      <x:c r="P34" s="34" t="n">
        <x:f>'直接配方'!$F$8*P7</x:f>
        <x:v>0</x:v>
      </x:c>
      <x:c r="Q34" s="34" t="n">
        <x:f>'直接配方'!$F$8*Q7</x:f>
        <x:v>0</x:v>
      </x:c>
      <x:c r="R34" s="34" t="n">
        <x:f>'直接配方'!$F$8*R7</x:f>
        <x:v>0</x:v>
      </x:c>
      <x:c r="S34" s="34" t="n">
        <x:f>'直接配方'!$F$8*S7</x:f>
        <x:v>0</x:v>
      </x:c>
      <x:c r="T34" s="34" t="n">
        <x:f>'直接配方'!$F$8*T7</x:f>
        <x:v>0</x:v>
      </x:c>
      <x:c r="U34" s="34" t="n">
        <x:f>'直接配方'!$F$8*U7</x:f>
        <x:v>0</x:v>
      </x:c>
      <x:c r="V34" s="34" t="n">
        <x:f>'直接配方'!$F$8*V7</x:f>
        <x:v>0</x:v>
      </x:c>
      <x:c r="W34" s="34" t="n">
        <x:f>'直接配方'!$F$8*W7</x:f>
        <x:v>0</x:v>
      </x:c>
      <x:c r="X34" s="34" t="n">
        <x:f>'直接配方'!$F$8*X7</x:f>
        <x:v>0</x:v>
      </x:c>
      <x:c r="Y34" s="34" t="n">
        <x:f>'直接配方'!$F$8*Y7</x:f>
        <x:v>0</x:v>
      </x:c>
      <x:c r="Z34" s="34" t="n">
        <x:f>'直接配方'!$F$8*Z7</x:f>
        <x:v>0</x:v>
      </x:c>
      <x:c r="AA34" s="34" t="n">
        <x:f>'直接配方'!$F$8*AA7</x:f>
        <x:v>0</x:v>
      </x:c>
      <x:c r="AB34" s="34" t="n">
        <x:f>'直接配方'!$F$8*AB7</x:f>
        <x:v>0</x:v>
      </x:c>
      <x:c r="AC34" s="34" t="n">
        <x:f>'直接配方'!$F$8*AC7</x:f>
        <x:v>0</x:v>
      </x:c>
    </x:row>
    <x:row r="35" ht="40" customHeight="1">
      <x:c r="A35" s="22" t="str">
        <x:v>M_C</x:v>
      </x:c>
      <x:c r="B35" s="22" t="str">
        <x:v>工艺碳</x:v>
      </x:c>
      <x:c r="C35" s="22" t="str">
        <x:v>kg</x:v>
      </x:c>
      <x:c r="D35" s="34" t="n">
        <x:f>'直接配方'!$F$9*D7+'直接配方'!$F$10*D33</x:f>
        <x:v>2.9997502289567897</x:v>
      </x:c>
      <x:c r="E35" s="34" t="n">
        <x:f>'直接配方'!$F$9*E7+'直接配方'!$F$10*E33</x:f>
        <x:v>3.664057946882025</x:v>
      </x:c>
      <x:c r="F35" s="34" t="n">
        <x:f>'直接配方'!$F$9*F7+'直接配方'!$F$10*F33</x:f>
        <x:v>0</x:v>
      </x:c>
      <x:c r="G35" s="34" t="n">
        <x:f>'直接配方'!$F$9*G7+'直接配方'!$F$10*G33</x:f>
        <x:v>0</x:v>
      </x:c>
      <x:c r="H35" s="34" t="n">
        <x:f>'直接配方'!$F$9*H7+'直接配方'!$F$10*H33</x:f>
        <x:v>0</x:v>
      </x:c>
      <x:c r="I35" s="34" t="n">
        <x:f>'直接配方'!$F$9*I7+'直接配方'!$F$10*I33</x:f>
        <x:v>0</x:v>
      </x:c>
      <x:c r="J35" s="34" t="n">
        <x:f>'直接配方'!$F$9*J7+'直接配方'!$F$10*J33</x:f>
        <x:v>0</x:v>
      </x:c>
      <x:c r="K35" s="34" t="n">
        <x:f>'直接配方'!$F$9*K7+'直接配方'!$F$10*K33</x:f>
        <x:v>0</x:v>
      </x:c>
      <x:c r="L35" s="34" t="n">
        <x:f>'直接配方'!$F$9*L7+'直接配方'!$F$10*L33</x:f>
        <x:v>0</x:v>
      </x:c>
      <x:c r="M35" s="34" t="n">
        <x:f>'直接配方'!$F$9*M7+'直接配方'!$F$10*M33</x:f>
        <x:v>0</x:v>
      </x:c>
      <x:c r="N35" s="34" t="n">
        <x:f>'直接配方'!$F$9*N7+'直接配方'!$F$10*N33</x:f>
        <x:v>0</x:v>
      </x:c>
      <x:c r="O35" s="34" t="n">
        <x:f>'直接配方'!$F$9*O7+'直接配方'!$F$10*O33</x:f>
        <x:v>0</x:v>
      </x:c>
      <x:c r="P35" s="34" t="n">
        <x:f>'直接配方'!$F$9*P7+'直接配方'!$F$10*P33</x:f>
        <x:v>0</x:v>
      </x:c>
      <x:c r="Q35" s="34" t="n">
        <x:f>'直接配方'!$F$9*Q7+'直接配方'!$F$10*Q33</x:f>
        <x:v>0</x:v>
      </x:c>
      <x:c r="R35" s="34" t="n">
        <x:f>'直接配方'!$F$9*R7+'直接配方'!$F$10*R33</x:f>
        <x:v>0</x:v>
      </x:c>
      <x:c r="S35" s="34" t="n">
        <x:f>'直接配方'!$F$9*S7+'直接配方'!$F$10*S33</x:f>
        <x:v>0</x:v>
      </x:c>
      <x:c r="T35" s="34" t="n">
        <x:f>'直接配方'!$F$9*T7+'直接配方'!$F$10*T33</x:f>
        <x:v>0</x:v>
      </x:c>
      <x:c r="U35" s="34" t="n">
        <x:f>'直接配方'!$F$9*U7+'直接配方'!$F$10*U33</x:f>
        <x:v>0</x:v>
      </x:c>
      <x:c r="V35" s="34" t="n">
        <x:f>'直接配方'!$F$9*V7+'直接配方'!$F$10*V33</x:f>
        <x:v>0</x:v>
      </x:c>
      <x:c r="W35" s="34" t="n">
        <x:f>'直接配方'!$F$9*W7+'直接配方'!$F$10*W33</x:f>
        <x:v>0</x:v>
      </x:c>
      <x:c r="X35" s="34" t="n">
        <x:f>'直接配方'!$F$9*X7+'直接配方'!$F$10*X33</x:f>
        <x:v>0</x:v>
      </x:c>
      <x:c r="Y35" s="34" t="n">
        <x:f>'直接配方'!$F$9*Y7+'直接配方'!$F$10*Y33</x:f>
        <x:v>0</x:v>
      </x:c>
      <x:c r="Z35" s="34" t="n">
        <x:f>'直接配方'!$F$9*Z7+'直接配方'!$F$10*Z33</x:f>
        <x:v>0</x:v>
      </x:c>
      <x:c r="AA35" s="34" t="n">
        <x:f>'直接配方'!$F$9*AA7+'直接配方'!$F$10*AA33</x:f>
        <x:v>0</x:v>
      </x:c>
      <x:c r="AB35" s="34" t="n">
        <x:f>'直接配方'!$F$9*AB7+'直接配方'!$F$10*AB33</x:f>
        <x:v>0</x:v>
      </x:c>
      <x:c r="AC35" s="34" t="n">
        <x:f>'直接配方'!$F$9*AC7+'直接配方'!$F$10*AC33</x:f>
        <x:v>0</x:v>
      </x:c>
    </x:row>
    <x:row r="36" ht="40" customHeight="1">
      <x:c r="A36" s="22" t="str">
        <x:v>M_FE</x:v>
      </x:c>
      <x:c r="B36" s="22" t="str">
        <x:v>还原铁</x:v>
      </x:c>
      <x:c r="C36" s="22" t="str">
        <x:v>kg</x:v>
      </x:c>
      <x:c r="D36" s="34" t="n">
        <x:f>'直接配方'!$F$11*D12+'直接配方'!$F$12*D33</x:f>
        <x:v>0.48388396454472204</x:v>
      </x:c>
      <x:c r="E36" s="34" t="n">
        <x:f>'直接配方'!$F$11*E12+'直接配方'!$F$12*E33</x:f>
        <x:v>0</x:v>
      </x:c>
      <x:c r="F36" s="34" t="n">
        <x:f>'直接配方'!$F$11*F12+'直接配方'!$F$12*F33</x:f>
        <x:v>0</x:v>
      </x:c>
      <x:c r="G36" s="34" t="n">
        <x:f>'直接配方'!$F$11*G12+'直接配方'!$F$12*G33</x:f>
        <x:v>0</x:v>
      </x:c>
      <x:c r="H36" s="34" t="n">
        <x:f>'直接配方'!$F$11*H12+'直接配方'!$F$12*H33</x:f>
        <x:v>0</x:v>
      </x:c>
      <x:c r="I36" s="34" t="n">
        <x:f>'直接配方'!$F$11*I12+'直接配方'!$F$12*I33</x:f>
        <x:v>0</x:v>
      </x:c>
      <x:c r="J36" s="34" t="n">
        <x:f>'直接配方'!$F$11*J12+'直接配方'!$F$12*J33</x:f>
        <x:v>1.429734085414988</x:v>
      </x:c>
      <x:c r="K36" s="34" t="n">
        <x:f>'直接配方'!$F$11*K12+'直接配方'!$F$12*K33</x:f>
        <x:v>0</x:v>
      </x:c>
      <x:c r="L36" s="34" t="n">
        <x:f>'直接配方'!$F$11*L12+'直接配方'!$F$12*L33</x:f>
        <x:v>0</x:v>
      </x:c>
      <x:c r="M36" s="34" t="n">
        <x:f>'直接配方'!$F$11*M12+'直接配方'!$F$12*M33</x:f>
        <x:v>0</x:v>
      </x:c>
      <x:c r="N36" s="34" t="n">
        <x:f>'直接配方'!$F$11*N12+'直接配方'!$F$12*N33</x:f>
        <x:v>0</x:v>
      </x:c>
      <x:c r="O36" s="34" t="n">
        <x:f>'直接配方'!$F$11*O12+'直接配方'!$F$12*O33</x:f>
        <x:v>0</x:v>
      </x:c>
      <x:c r="P36" s="34" t="n">
        <x:f>'直接配方'!$F$11*P12+'直接配方'!$F$12*P33</x:f>
        <x:v>0</x:v>
      </x:c>
      <x:c r="Q36" s="34" t="n">
        <x:f>'直接配方'!$F$11*Q12+'直接配方'!$F$12*Q33</x:f>
        <x:v>0</x:v>
      </x:c>
      <x:c r="R36" s="34" t="n">
        <x:f>'直接配方'!$F$11*R12+'直接配方'!$F$12*R33</x:f>
        <x:v>0</x:v>
      </x:c>
      <x:c r="S36" s="34" t="n">
        <x:f>'直接配方'!$F$11*S12+'直接配方'!$F$12*S33</x:f>
        <x:v>0</x:v>
      </x:c>
      <x:c r="T36" s="34" t="n">
        <x:f>'直接配方'!$F$11*T12+'直接配方'!$F$12*T33</x:f>
        <x:v>0</x:v>
      </x:c>
      <x:c r="U36" s="34" t="n">
        <x:f>'直接配方'!$F$11*U12+'直接配方'!$F$12*U33</x:f>
        <x:v>0</x:v>
      </x:c>
      <x:c r="V36" s="34" t="n">
        <x:f>'直接配方'!$F$11*V12+'直接配方'!$F$12*V33</x:f>
        <x:v>0</x:v>
      </x:c>
      <x:c r="W36" s="34" t="n">
        <x:f>'直接配方'!$F$11*W12+'直接配方'!$F$12*W33</x:f>
        <x:v>0</x:v>
      </x:c>
      <x:c r="X36" s="34" t="n">
        <x:f>'直接配方'!$F$11*X12+'直接配方'!$F$12*X33</x:f>
        <x:v>0</x:v>
      </x:c>
      <x:c r="Y36" s="34" t="n">
        <x:f>'直接配方'!$F$11*Y12+'直接配方'!$F$12*Y33</x:f>
        <x:v>0</x:v>
      </x:c>
      <x:c r="Z36" s="34" t="n">
        <x:f>'直接配方'!$F$11*Z12+'直接配方'!$F$12*Z33</x:f>
        <x:v>0</x:v>
      </x:c>
      <x:c r="AA36" s="34" t="n">
        <x:f>'直接配方'!$F$11*AA12+'直接配方'!$F$12*AA33</x:f>
        <x:v>0</x:v>
      </x:c>
      <x:c r="AB36" s="34" t="n">
        <x:f>'直接配方'!$F$11*AB12+'直接配方'!$F$12*AB33</x:f>
        <x:v>0</x:v>
      </x:c>
      <x:c r="AC36" s="34" t="n">
        <x:f>'直接配方'!$F$11*AC12+'直接配方'!$F$12*AC33</x:f>
        <x:v>0</x:v>
      </x:c>
    </x:row>
    <x:row r="37" ht="40" customHeight="1">
      <x:c r="A37" s="22" t="str">
        <x:v>M_ST</x:v>
      </x:c>
      <x:c r="B37" s="22" t="str">
        <x:v>低碳钢材料</x:v>
      </x:c>
      <x:c r="C37" s="22" t="str">
        <x:v>kg</x:v>
      </x:c>
      <x:c r="D37" s="34" t="n">
        <x:f>'直接配方'!$F$13*D36+'直接配方'!$F$14*D35</x:f>
        <x:v>0.4889156970735462</x:v>
      </x:c>
      <x:c r="E37" s="34" t="n">
        <x:f>'直接配方'!$F$13*E36+'直接配方'!$F$14*E35</x:f>
        <x:v>0.00732811589376405</x:v>
      </x:c>
      <x:c r="F37" s="34" t="n">
        <x:f>'直接配方'!$F$13*F36+'直接配方'!$F$14*F35</x:f>
        <x:v>0</x:v>
      </x:c>
      <x:c r="G37" s="34" t="n">
        <x:f>'直接配方'!$F$13*G36+'直接配方'!$F$14*G35</x:f>
        <x:v>0</x:v>
      </x:c>
      <x:c r="H37" s="34" t="n">
        <x:f>'直接配方'!$F$13*H36+'直接配方'!$F$14*H35</x:f>
        <x:v>0</x:v>
      </x:c>
      <x:c r="I37" s="34" t="n">
        <x:f>'直接配方'!$F$13*I36+'直接配方'!$F$14*I35</x:f>
        <x:v>0</x:v>
      </x:c>
      <x:c r="J37" s="34" t="n">
        <x:f>'直接配方'!$F$13*J36+'直接配方'!$F$14*J35</x:f>
        <x:v>1.426874617244158</x:v>
      </x:c>
      <x:c r="K37" s="34" t="n">
        <x:f>'直接配方'!$F$13*K36+'直接配方'!$F$14*K35</x:f>
        <x:v>0</x:v>
      </x:c>
      <x:c r="L37" s="34" t="n">
        <x:f>'直接配方'!$F$13*L36+'直接配方'!$F$14*L35</x:f>
        <x:v>0</x:v>
      </x:c>
      <x:c r="M37" s="34" t="n">
        <x:f>'直接配方'!$F$13*M36+'直接配方'!$F$14*M35</x:f>
        <x:v>0</x:v>
      </x:c>
      <x:c r="N37" s="34" t="n">
        <x:f>'直接配方'!$F$13*N36+'直接配方'!$F$14*N35</x:f>
        <x:v>0</x:v>
      </x:c>
      <x:c r="O37" s="34" t="n">
        <x:f>'直接配方'!$F$13*O36+'直接配方'!$F$14*O35</x:f>
        <x:v>0</x:v>
      </x:c>
      <x:c r="P37" s="34" t="n">
        <x:f>'直接配方'!$F$13*P36+'直接配方'!$F$14*P35</x:f>
        <x:v>0</x:v>
      </x:c>
      <x:c r="Q37" s="34" t="n">
        <x:f>'直接配方'!$F$13*Q36+'直接配方'!$F$14*Q35</x:f>
        <x:v>0</x:v>
      </x:c>
      <x:c r="R37" s="34" t="n">
        <x:f>'直接配方'!$F$13*R36+'直接配方'!$F$14*R35</x:f>
        <x:v>0</x:v>
      </x:c>
      <x:c r="S37" s="34" t="n">
        <x:f>'直接配方'!$F$13*S36+'直接配方'!$F$14*S35</x:f>
        <x:v>0</x:v>
      </x:c>
      <x:c r="T37" s="34" t="n">
        <x:f>'直接配方'!$F$13*T36+'直接配方'!$F$14*T35</x:f>
        <x:v>0</x:v>
      </x:c>
      <x:c r="U37" s="34" t="n">
        <x:f>'直接配方'!$F$13*U36+'直接配方'!$F$14*U35</x:f>
        <x:v>0</x:v>
      </x:c>
      <x:c r="V37" s="34" t="n">
        <x:f>'直接配方'!$F$13*V36+'直接配方'!$F$14*V35</x:f>
        <x:v>0</x:v>
      </x:c>
      <x:c r="W37" s="34" t="n">
        <x:f>'直接配方'!$F$13*W36+'直接配方'!$F$14*W35</x:f>
        <x:v>0</x:v>
      </x:c>
      <x:c r="X37" s="34" t="n">
        <x:f>'直接配方'!$F$13*X36+'直接配方'!$F$14*X35</x:f>
        <x:v>0</x:v>
      </x:c>
      <x:c r="Y37" s="34" t="n">
        <x:f>'直接配方'!$F$13*Y36+'直接配方'!$F$14*Y35</x:f>
        <x:v>0</x:v>
      </x:c>
      <x:c r="Z37" s="34" t="n">
        <x:f>'直接配方'!$F$13*Z36+'直接配方'!$F$14*Z35</x:f>
        <x:v>0</x:v>
      </x:c>
      <x:c r="AA37" s="34" t="n">
        <x:f>'直接配方'!$F$13*AA36+'直接配方'!$F$14*AA35</x:f>
        <x:v>0</x:v>
      </x:c>
      <x:c r="AB37" s="34" t="n">
        <x:f>'直接配方'!$F$13*AB36+'直接配方'!$F$14*AB35</x:f>
        <x:v>0</x:v>
      </x:c>
      <x:c r="AC37" s="34" t="n">
        <x:f>'直接配方'!$F$13*AC36+'直接配方'!$F$14*AC35</x:f>
        <x:v>0</x:v>
      </x:c>
    </x:row>
    <x:row r="38" ht="40" customHeight="1">
      <x:c r="A38" s="22" t="str">
        <x:v>M_CU</x:v>
      </x:c>
      <x:c r="B38" s="22" t="str">
        <x:v>金属铜</x:v>
      </x:c>
      <x:c r="C38" s="22" t="str">
        <x:v>kg</x:v>
      </x:c>
      <x:c r="D38" s="34" t="n">
        <x:f>'直接配方'!$F$15*D19+'直接配方'!$F$16*D33</x:f>
        <x:v>0.2834954206401662</x:v>
      </x:c>
      <x:c r="E38" s="34" t="n">
        <x:f>'直接配方'!$F$15*E19+'直接配方'!$F$16*E33</x:f>
        <x:v>0</x:v>
      </x:c>
      <x:c r="F38" s="34" t="n">
        <x:f>'直接配方'!$F$15*F19+'直接配方'!$F$16*F33</x:f>
        <x:v>0</x:v>
      </x:c>
      <x:c r="G38" s="34" t="n">
        <x:f>'直接配方'!$F$15*G19+'直接配方'!$F$16*G33</x:f>
        <x:v>0</x:v>
      </x:c>
      <x:c r="H38" s="34" t="n">
        <x:f>'直接配方'!$F$15*H19+'直接配方'!$F$16*H33</x:f>
        <x:v>0</x:v>
      </x:c>
      <x:c r="I38" s="34" t="n">
        <x:f>'直接配方'!$F$15*I19+'直接配方'!$F$16*I33</x:f>
        <x:v>0</x:v>
      </x:c>
      <x:c r="J38" s="34" t="n">
        <x:f>'直接配方'!$F$15*J19+'直接配方'!$F$16*J33</x:f>
        <x:v>0</x:v>
      </x:c>
      <x:c r="K38" s="34" t="n">
        <x:f>'直接配方'!$F$15*K19+'直接配方'!$F$16*K33</x:f>
        <x:v>0</x:v>
      </x:c>
      <x:c r="L38" s="34" t="n">
        <x:f>'直接配方'!$F$15*L19+'直接配方'!$F$16*L33</x:f>
        <x:v>0</x:v>
      </x:c>
      <x:c r="M38" s="34" t="n">
        <x:f>'直接配方'!$F$15*M19+'直接配方'!$F$16*M33</x:f>
        <x:v>0</x:v>
      </x:c>
      <x:c r="N38" s="34" t="n">
        <x:f>'直接配方'!$F$15*N19+'直接配方'!$F$16*N33</x:f>
        <x:v>0</x:v>
      </x:c>
      <x:c r="O38" s="34" t="n">
        <x:f>'直接配方'!$F$15*O19+'直接配方'!$F$16*O33</x:f>
        <x:v>0</x:v>
      </x:c>
      <x:c r="P38" s="34" t="n">
        <x:f>'直接配方'!$F$15*P19+'直接配方'!$F$16*P33</x:f>
        <x:v>0</x:v>
      </x:c>
      <x:c r="Q38" s="34" t="n">
        <x:f>'直接配方'!$F$15*Q19+'直接配方'!$F$16*Q33</x:f>
        <x:v>1.2517703710697763</x:v>
      </x:c>
      <x:c r="R38" s="34" t="n">
        <x:f>'直接配方'!$F$15*R19+'直接配方'!$F$16*R33</x:f>
        <x:v>0</x:v>
      </x:c>
      <x:c r="S38" s="34" t="n">
        <x:f>'直接配方'!$F$15*S19+'直接配方'!$F$16*S33</x:f>
        <x:v>0</x:v>
      </x:c>
      <x:c r="T38" s="34" t="n">
        <x:f>'直接配方'!$F$15*T19+'直接配方'!$F$16*T33</x:f>
        <x:v>0</x:v>
      </x:c>
      <x:c r="U38" s="34" t="n">
        <x:f>'直接配方'!$F$15*U19+'直接配方'!$F$16*U33</x:f>
        <x:v>0</x:v>
      </x:c>
      <x:c r="V38" s="34" t="n">
        <x:f>'直接配方'!$F$15*V19+'直接配方'!$F$16*V33</x:f>
        <x:v>0</x:v>
      </x:c>
      <x:c r="W38" s="34" t="n">
        <x:f>'直接配方'!$F$15*W19+'直接配方'!$F$16*W33</x:f>
        <x:v>0</x:v>
      </x:c>
      <x:c r="X38" s="34" t="n">
        <x:f>'直接配方'!$F$15*X19+'直接配方'!$F$16*X33</x:f>
        <x:v>0</x:v>
      </x:c>
      <x:c r="Y38" s="34" t="n">
        <x:f>'直接配方'!$F$15*Y19+'直接配方'!$F$16*Y33</x:f>
        <x:v>0</x:v>
      </x:c>
      <x:c r="Z38" s="34" t="n">
        <x:f>'直接配方'!$F$15*Z19+'直接配方'!$F$16*Z33</x:f>
        <x:v>0</x:v>
      </x:c>
      <x:c r="AA38" s="34" t="n">
        <x:f>'直接配方'!$F$15*AA19+'直接配方'!$F$16*AA33</x:f>
        <x:v>0</x:v>
      </x:c>
      <x:c r="AB38" s="34" t="n">
        <x:f>'直接配方'!$F$15*AB19+'直接配方'!$F$16*AB33</x:f>
        <x:v>0</x:v>
      </x:c>
      <x:c r="AC38" s="34" t="n">
        <x:f>'直接配方'!$F$15*AC19+'直接配方'!$F$16*AC33</x:f>
        <x:v>0</x:v>
      </x:c>
    </x:row>
    <x:row r="39" ht="40" customHeight="1">
      <x:c r="A39" s="22" t="str">
        <x:v>M_NI</x:v>
      </x:c>
      <x:c r="B39" s="22" t="str">
        <x:v>金属镍</x:v>
      </x:c>
      <x:c r="C39" s="22" t="str">
        <x:v>kg</x:v>
      </x:c>
      <x:c r="D39" s="34" t="n">
        <x:f>'直接配方'!$F$17*D20+'直接配方'!$F$18*D33</x:f>
        <x:v>0.3069360911863425</x:v>
      </x:c>
      <x:c r="E39" s="34" t="n">
        <x:f>'直接配方'!$F$17*E20+'直接配方'!$F$18*E33</x:f>
        <x:v>0</x:v>
      </x:c>
      <x:c r="F39" s="34" t="n">
        <x:f>'直接配方'!$F$17*F20+'直接配方'!$F$18*F33</x:f>
        <x:v>0</x:v>
      </x:c>
      <x:c r="G39" s="34" t="n">
        <x:f>'直接配方'!$F$17*G20+'直接配方'!$F$18*G33</x:f>
        <x:v>0</x:v>
      </x:c>
      <x:c r="H39" s="34" t="n">
        <x:f>'直接配方'!$F$17*H20+'直接配方'!$F$18*H33</x:f>
        <x:v>0</x:v>
      </x:c>
      <x:c r="I39" s="34" t="n">
        <x:f>'直接配方'!$F$17*I20+'直接配方'!$F$18*I33</x:f>
        <x:v>0</x:v>
      </x:c>
      <x:c r="J39" s="34" t="n">
        <x:f>'直接配方'!$F$17*J20+'直接配方'!$F$18*J33</x:f>
        <x:v>0</x:v>
      </x:c>
      <x:c r="K39" s="34" t="n">
        <x:f>'直接配方'!$F$17*K20+'直接配方'!$F$18*K33</x:f>
        <x:v>0</x:v>
      </x:c>
      <x:c r="L39" s="34" t="n">
        <x:f>'直接配方'!$F$17*L20+'直接配方'!$F$18*L33</x:f>
        <x:v>0</x:v>
      </x:c>
      <x:c r="M39" s="34" t="n">
        <x:f>'直接配方'!$F$17*M20+'直接配方'!$F$18*M33</x:f>
        <x:v>0</x:v>
      </x:c>
      <x:c r="N39" s="34" t="n">
        <x:f>'直接配方'!$F$17*N20+'直接配方'!$F$18*N33</x:f>
        <x:v>0</x:v>
      </x:c>
      <x:c r="O39" s="34" t="n">
        <x:f>'直接配方'!$F$17*O20+'直接配方'!$F$18*O33</x:f>
        <x:v>0</x:v>
      </x:c>
      <x:c r="P39" s="34" t="n">
        <x:f>'直接配方'!$F$17*P20+'直接配方'!$F$18*P33</x:f>
        <x:v>0</x:v>
      </x:c>
      <x:c r="Q39" s="34" t="n">
        <x:f>'直接配方'!$F$17*Q20+'直接配方'!$F$18*Q33</x:f>
        <x:v>0</x:v>
      </x:c>
      <x:c r="R39" s="34" t="n">
        <x:f>'直接配方'!$F$17*R20+'直接配方'!$F$18*R33</x:f>
        <x:v>1.2725878724890531</x:v>
      </x:c>
      <x:c r="S39" s="34" t="n">
        <x:f>'直接配方'!$F$17*S20+'直接配方'!$F$18*S33</x:f>
        <x:v>0</x:v>
      </x:c>
      <x:c r="T39" s="34" t="n">
        <x:f>'直接配方'!$F$17*T20+'直接配方'!$F$18*T33</x:f>
        <x:v>0</x:v>
      </x:c>
      <x:c r="U39" s="34" t="n">
        <x:f>'直接配方'!$F$17*U20+'直接配方'!$F$18*U33</x:f>
        <x:v>0</x:v>
      </x:c>
      <x:c r="V39" s="34" t="n">
        <x:f>'直接配方'!$F$17*V20+'直接配方'!$F$18*V33</x:f>
        <x:v>0</x:v>
      </x:c>
      <x:c r="W39" s="34" t="n">
        <x:f>'直接配方'!$F$17*W20+'直接配方'!$F$18*W33</x:f>
        <x:v>0</x:v>
      </x:c>
      <x:c r="X39" s="34" t="n">
        <x:f>'直接配方'!$F$17*X20+'直接配方'!$F$18*X33</x:f>
        <x:v>0</x:v>
      </x:c>
      <x:c r="Y39" s="34" t="n">
        <x:f>'直接配方'!$F$17*Y20+'直接配方'!$F$18*Y33</x:f>
        <x:v>0</x:v>
      </x:c>
      <x:c r="Z39" s="34" t="n">
        <x:f>'直接配方'!$F$17*Z20+'直接配方'!$F$18*Z33</x:f>
        <x:v>0</x:v>
      </x:c>
      <x:c r="AA39" s="34" t="n">
        <x:f>'直接配方'!$F$17*AA20+'直接配方'!$F$18*AA33</x:f>
        <x:v>0</x:v>
      </x:c>
      <x:c r="AB39" s="34" t="n">
        <x:f>'直接配方'!$F$17*AB20+'直接配方'!$F$18*AB33</x:f>
        <x:v>0</x:v>
      </x:c>
      <x:c r="AC39" s="34" t="n">
        <x:f>'直接配方'!$F$17*AC20+'直接配方'!$F$18*AC33</x:f>
        <x:v>0</x:v>
      </x:c>
    </x:row>
    <x:row r="40" ht="40" customHeight="1">
      <x:c r="A40" s="22" t="str">
        <x:v>M_AL</x:v>
      </x:c>
      <x:c r="B40" s="22" t="str">
        <x:v>金属铝</x:v>
      </x:c>
      <x:c r="C40" s="22" t="str">
        <x:v>kg</x:v>
      </x:c>
      <x:c r="D40" s="34" t="n">
        <x:f>'直接配方'!$F$19*D21+'直接配方'!$F$20*D35</x:f>
        <x:v>1.0015010006671115</x:v>
      </x:c>
      <x:c r="E40" s="34" t="n">
        <x:f>'直接配方'!$F$19*E21+'直接配方'!$F$20*E35</x:f>
        <x:v>1.223287747387147</x:v>
      </x:c>
      <x:c r="F40" s="34" t="n">
        <x:f>'直接配方'!$F$19*F21+'直接配方'!$F$20*F35</x:f>
        <x:v>0</x:v>
      </x:c>
      <x:c r="G40" s="34" t="n">
        <x:f>'直接配方'!$F$19*G21+'直接配方'!$F$20*G35</x:f>
        <x:v>0</x:v>
      </x:c>
      <x:c r="H40" s="34" t="n">
        <x:f>'直接配方'!$F$19*H21+'直接配方'!$F$20*H35</x:f>
        <x:v>0</x:v>
      </x:c>
      <x:c r="I40" s="34" t="n">
        <x:f>'直接配方'!$F$19*I21+'直接配方'!$F$20*I35</x:f>
        <x:v>0</x:v>
      </x:c>
      <x:c r="J40" s="34" t="n">
        <x:f>'直接配方'!$F$19*J21+'直接配方'!$F$20*J35</x:f>
        <x:v>0</x:v>
      </x:c>
      <x:c r="K40" s="34" t="n">
        <x:f>'直接配方'!$F$19*K21+'直接配方'!$F$20*K35</x:f>
        <x:v>0</x:v>
      </x:c>
      <x:c r="L40" s="34" t="n">
        <x:f>'直接配方'!$F$19*L21+'直接配方'!$F$20*L35</x:f>
        <x:v>0</x:v>
      </x:c>
      <x:c r="M40" s="34" t="n">
        <x:f>'直接配方'!$F$19*M21+'直接配方'!$F$20*M35</x:f>
        <x:v>0</x:v>
      </x:c>
      <x:c r="N40" s="34" t="n">
        <x:f>'直接配方'!$F$19*N21+'直接配方'!$F$20*N35</x:f>
        <x:v>0</x:v>
      </x:c>
      <x:c r="O40" s="34" t="n">
        <x:f>'直接配方'!$F$19*O21+'直接配方'!$F$20*O35</x:f>
        <x:v>0</x:v>
      </x:c>
      <x:c r="P40" s="34" t="n">
        <x:f>'直接配方'!$F$19*P21+'直接配方'!$F$20*P35</x:f>
        <x:v>0</x:v>
      </x:c>
      <x:c r="Q40" s="34" t="n">
        <x:f>'直接配方'!$F$19*Q21+'直接配方'!$F$20*Q35</x:f>
        <x:v>0</x:v>
      </x:c>
      <x:c r="R40" s="34" t="n">
        <x:f>'直接配方'!$F$19*R21+'直接配方'!$F$20*R35</x:f>
        <x:v>0</x:v>
      </x:c>
      <x:c r="S40" s="34" t="n">
        <x:f>'直接配方'!$F$19*S21+'直接配方'!$F$20*S35</x:f>
        <x:v>1.8894262841894596</x:v>
      </x:c>
      <x:c r="T40" s="34" t="n">
        <x:f>'直接配方'!$F$19*T21+'直接配方'!$F$20*T35</x:f>
        <x:v>0</x:v>
      </x:c>
      <x:c r="U40" s="34" t="n">
        <x:f>'直接配方'!$F$19*U21+'直接配方'!$F$20*U35</x:f>
        <x:v>0</x:v>
      </x:c>
      <x:c r="V40" s="34" t="n">
        <x:f>'直接配方'!$F$19*V21+'直接配方'!$F$20*V35</x:f>
        <x:v>0</x:v>
      </x:c>
      <x:c r="W40" s="34" t="n">
        <x:f>'直接配方'!$F$19*W21+'直接配方'!$F$20*W35</x:f>
        <x:v>0</x:v>
      </x:c>
      <x:c r="X40" s="34" t="n">
        <x:f>'直接配方'!$F$19*X21+'直接配方'!$F$20*X35</x:f>
        <x:v>0</x:v>
      </x:c>
      <x:c r="Y40" s="34" t="n">
        <x:f>'直接配方'!$F$19*Y21+'直接配方'!$F$20*Y35</x:f>
        <x:v>0</x:v>
      </x:c>
      <x:c r="Z40" s="34" t="n">
        <x:f>'直接配方'!$F$19*Z21+'直接配方'!$F$20*Z35</x:f>
        <x:v>0</x:v>
      </x:c>
      <x:c r="AA40" s="34" t="n">
        <x:f>'直接配方'!$F$19*AA21+'直接配方'!$F$20*AA35</x:f>
        <x:v>0</x:v>
      </x:c>
      <x:c r="AB40" s="34" t="n">
        <x:f>'直接配方'!$F$19*AB21+'直接配方'!$F$20*AB35</x:f>
        <x:v>0</x:v>
      </x:c>
      <x:c r="AC40" s="34" t="n">
        <x:f>'直接配方'!$F$19*AC21+'直接配方'!$F$20*AC35</x:f>
        <x:v>0</x:v>
      </x:c>
    </x:row>
    <x:row r="41" ht="40" customHeight="1">
      <x:c r="A41" s="22" t="str">
        <x:v>M_AG</x:v>
      </x:c>
      <x:c r="B41" s="22" t="str">
        <x:v>金属银</x:v>
      </x:c>
      <x:c r="C41" s="22" t="str">
        <x:v>kg</x:v>
      </x:c>
      <x:c r="D41" s="34" t="n">
        <x:f>'直接配方'!$F$21*D22+'直接配方'!$F$22*D34</x:f>
        <x:v>0</x:v>
      </x:c>
      <x:c r="E41" s="34" t="n">
        <x:f>'直接配方'!$F$21*E22+'直接配方'!$F$22*E34</x:f>
        <x:v>0.4079886379859866</x:v>
      </x:c>
      <x:c r="F41" s="34" t="n">
        <x:f>'直接配方'!$F$21*F22+'直接配方'!$F$22*F34</x:f>
        <x:v>0</x:v>
      </x:c>
      <x:c r="G41" s="34" t="n">
        <x:f>'直接配方'!$F$21*G22+'直接配方'!$F$22*G34</x:f>
        <x:v>0</x:v>
      </x:c>
      <x:c r="H41" s="34" t="n">
        <x:f>'直接配方'!$F$21*H22+'直接配方'!$F$22*H34</x:f>
        <x:v>0</x:v>
      </x:c>
      <x:c r="I41" s="34" t="n">
        <x:f>'直接配方'!$F$21*I22+'直接配方'!$F$22*I34</x:f>
        <x:v>0</x:v>
      </x:c>
      <x:c r="J41" s="34" t="n">
        <x:f>'直接配方'!$F$21*J22+'直接配方'!$F$22*J34</x:f>
        <x:v>0</x:v>
      </x:c>
      <x:c r="K41" s="34" t="n">
        <x:f>'直接配方'!$F$21*K22+'直接配方'!$F$22*K34</x:f>
        <x:v>0</x:v>
      </x:c>
      <x:c r="L41" s="34" t="n">
        <x:f>'直接配方'!$F$21*L22+'直接配方'!$F$22*L34</x:f>
        <x:v>0</x:v>
      </x:c>
      <x:c r="M41" s="34" t="n">
        <x:f>'直接配方'!$F$21*M22+'直接配方'!$F$22*M34</x:f>
        <x:v>0</x:v>
      </x:c>
      <x:c r="N41" s="34" t="n">
        <x:f>'直接配方'!$F$21*N22+'直接配方'!$F$22*N34</x:f>
        <x:v>0</x:v>
      </x:c>
      <x:c r="O41" s="34" t="n">
        <x:f>'直接配方'!$F$21*O22+'直接配方'!$F$22*O34</x:f>
        <x:v>0</x:v>
      </x:c>
      <x:c r="P41" s="34" t="n">
        <x:f>'直接配方'!$F$21*P22+'直接配方'!$F$22*P34</x:f>
        <x:v>0</x:v>
      </x:c>
      <x:c r="Q41" s="34" t="n">
        <x:f>'直接配方'!$F$21*Q22+'直接配方'!$F$22*Q34</x:f>
        <x:v>0</x:v>
      </x:c>
      <x:c r="R41" s="34" t="n">
        <x:f>'直接配方'!$F$21*R22+'直接配方'!$F$22*R34</x:f>
        <x:v>0</x:v>
      </x:c>
      <x:c r="S41" s="34" t="n">
        <x:f>'直接配方'!$F$21*S22+'直接配方'!$F$22*S34</x:f>
        <x:v>0</x:v>
      </x:c>
      <x:c r="T41" s="34" t="n">
        <x:f>'直接配方'!$F$21*T22+'直接配方'!$F$22*T34</x:f>
        <x:v>1.1486072818495163</x:v>
      </x:c>
      <x:c r="U41" s="34" t="n">
        <x:f>'直接配方'!$F$21*U22+'直接配方'!$F$22*U34</x:f>
        <x:v>0</x:v>
      </x:c>
      <x:c r="V41" s="34" t="n">
        <x:f>'直接配方'!$F$21*V22+'直接配方'!$F$22*V34</x:f>
        <x:v>0</x:v>
      </x:c>
      <x:c r="W41" s="34" t="n">
        <x:f>'直接配方'!$F$21*W22+'直接配方'!$F$22*W34</x:f>
        <x:v>0</x:v>
      </x:c>
      <x:c r="X41" s="34" t="n">
        <x:f>'直接配方'!$F$21*X22+'直接配方'!$F$22*X34</x:f>
        <x:v>0</x:v>
      </x:c>
      <x:c r="Y41" s="34" t="n">
        <x:f>'直接配方'!$F$21*Y22+'直接配方'!$F$22*Y34</x:f>
        <x:v>0</x:v>
      </x:c>
      <x:c r="Z41" s="34" t="n">
        <x:f>'直接配方'!$F$21*Z22+'直接配方'!$F$22*Z34</x:f>
        <x:v>0</x:v>
      </x:c>
      <x:c r="AA41" s="34" t="n">
        <x:f>'直接配方'!$F$21*AA22+'直接配方'!$F$22*AA34</x:f>
        <x:v>0</x:v>
      </x:c>
      <x:c r="AB41" s="34" t="n">
        <x:f>'直接配方'!$F$21*AB22+'直接配方'!$F$22*AB34</x:f>
        <x:v>0</x:v>
      </x:c>
      <x:c r="AC41" s="34" t="n">
        <x:f>'直接配方'!$F$21*AC22+'直接配方'!$F$22*AC34</x:f>
        <x:v>0</x:v>
      </x:c>
    </x:row>
    <x:row r="42" ht="40" customHeight="1">
      <x:c r="A42" s="22" t="str">
        <x:v>M_SN</x:v>
      </x:c>
      <x:c r="B42" s="22" t="str">
        <x:v>金属锡</x:v>
      </x:c>
      <x:c r="C42" s="22" t="str">
        <x:v>kg</x:v>
      </x:c>
      <x:c r="D42" s="34" t="n">
        <x:f>'直接配方'!$F$23*D25+'直接配方'!$F$24*D33</x:f>
        <x:v>0.30351276219358103</x:v>
      </x:c>
      <x:c r="E42" s="34" t="n">
        <x:f>'直接配方'!$F$23*E25+'直接配方'!$F$24*E33</x:f>
        <x:v>0</x:v>
      </x:c>
      <x:c r="F42" s="34" t="n">
        <x:f>'直接配方'!$F$23*F25+'直接配方'!$F$24*F33</x:f>
        <x:v>0</x:v>
      </x:c>
      <x:c r="G42" s="34" t="n">
        <x:f>'直接配方'!$F$23*G25+'直接配方'!$F$24*G33</x:f>
        <x:v>0</x:v>
      </x:c>
      <x:c r="H42" s="34" t="n">
        <x:f>'直接配方'!$F$23*H25+'直接配方'!$F$24*H33</x:f>
        <x:v>0</x:v>
      </x:c>
      <x:c r="I42" s="34" t="n">
        <x:f>'直接配方'!$F$23*I25+'直接配方'!$F$24*I33</x:f>
        <x:v>0</x:v>
      </x:c>
      <x:c r="J42" s="34" t="n">
        <x:f>'直接配方'!$F$23*J25+'直接配方'!$F$24*J33</x:f>
        <x:v>0</x:v>
      </x:c>
      <x:c r="K42" s="34" t="n">
        <x:f>'直接配方'!$F$23*K25+'直接配方'!$F$24*K33</x:f>
        <x:v>0</x:v>
      </x:c>
      <x:c r="L42" s="34" t="n">
        <x:f>'直接配方'!$F$23*L25+'直接配方'!$F$24*L33</x:f>
        <x:v>0</x:v>
      </x:c>
      <x:c r="M42" s="34" t="n">
        <x:f>'直接配方'!$F$23*M25+'直接配方'!$F$24*M33</x:f>
        <x:v>0</x:v>
      </x:c>
      <x:c r="N42" s="34" t="n">
        <x:f>'直接配方'!$F$23*N25+'直接配方'!$F$24*N33</x:f>
        <x:v>0</x:v>
      </x:c>
      <x:c r="O42" s="34" t="n">
        <x:f>'直接配方'!$F$23*O25+'直接配方'!$F$24*O33</x:f>
        <x:v>0</x:v>
      </x:c>
      <x:c r="P42" s="34" t="n">
        <x:f>'直接配方'!$F$23*P25+'直接配方'!$F$24*P33</x:f>
        <x:v>0</x:v>
      </x:c>
      <x:c r="Q42" s="34" t="n">
        <x:f>'直接配方'!$F$23*Q25+'直接配方'!$F$24*Q33</x:f>
        <x:v>0</x:v>
      </x:c>
      <x:c r="R42" s="34" t="n">
        <x:f>'直接配方'!$F$23*R25+'直接配方'!$F$24*R33</x:f>
        <x:v>0</x:v>
      </x:c>
      <x:c r="S42" s="34" t="n">
        <x:f>'直接配方'!$F$23*S25+'直接配方'!$F$24*S33</x:f>
        <x:v>0</x:v>
      </x:c>
      <x:c r="T42" s="34" t="n">
        <x:f>'直接配方'!$F$23*T25+'直接配方'!$F$24*T33</x:f>
        <x:v>0</x:v>
      </x:c>
      <x:c r="U42" s="34" t="n">
        <x:f>'直接配方'!$F$23*U25+'直接配方'!$F$24*U33</x:f>
        <x:v>0</x:v>
      </x:c>
      <x:c r="V42" s="34" t="n">
        <x:f>'直接配方'!$F$23*V25+'直接配方'!$F$24*V33</x:f>
        <x:v>0</x:v>
      </x:c>
      <x:c r="W42" s="34" t="n">
        <x:f>'直接配方'!$F$23*W25+'直接配方'!$F$24*W33</x:f>
        <x:v>1.2695476370988124</x:v>
      </x:c>
      <x:c r="X42" s="34" t="n">
        <x:f>'直接配方'!$F$23*X25+'直接配方'!$F$24*X33</x:f>
        <x:v>0</x:v>
      </x:c>
      <x:c r="Y42" s="34" t="n">
        <x:f>'直接配方'!$F$23*Y25+'直接配方'!$F$24*Y33</x:f>
        <x:v>0</x:v>
      </x:c>
      <x:c r="Z42" s="34" t="n">
        <x:f>'直接配方'!$F$23*Z25+'直接配方'!$F$24*Z33</x:f>
        <x:v>0</x:v>
      </x:c>
      <x:c r="AA42" s="34" t="n">
        <x:f>'直接配方'!$F$23*AA25+'直接配方'!$F$24*AA33</x:f>
        <x:v>0</x:v>
      </x:c>
      <x:c r="AB42" s="34" t="n">
        <x:f>'直接配方'!$F$23*AB25+'直接配方'!$F$24*AB33</x:f>
        <x:v>0</x:v>
      </x:c>
      <x:c r="AC42" s="34" t="n">
        <x:f>'直接配方'!$F$23*AC25+'直接配方'!$F$24*AC33</x:f>
        <x:v>0</x:v>
      </x:c>
    </x:row>
    <x:row r="43" ht="40" customHeight="1">
      <x:c r="A43" s="22" t="str">
        <x:v>M_SI</x:v>
      </x:c>
      <x:c r="B43" s="22" t="str">
        <x:v>工业硅</x:v>
      </x:c>
      <x:c r="C43" s="22" t="str">
        <x:v>kg</x:v>
      </x:c>
      <x:c r="D43" s="34" t="n">
        <x:f>'直接配方'!$F$25*D11+'直接配方'!$F$26*D35</x:f>
        <x:v>2.565782446145629</x:v>
      </x:c>
      <x:c r="E43" s="34" t="n">
        <x:f>'直接配方'!$F$25*E11+'直接配方'!$F$26*E35</x:f>
        <x:v>3.133986113583763</x:v>
      </x:c>
      <x:c r="F43" s="34" t="n">
        <x:f>'直接配方'!$F$25*F11+'直接配方'!$F$26*F35</x:f>
        <x:v>0</x:v>
      </x:c>
      <x:c r="G43" s="34" t="n">
        <x:f>'直接配方'!$F$25*G11+'直接配方'!$F$26*G35</x:f>
        <x:v>0</x:v>
      </x:c>
      <x:c r="H43" s="34" t="n">
        <x:f>'直接配方'!$F$25*H11+'直接配方'!$F$26*H35</x:f>
        <x:v>0</x:v>
      </x:c>
      <x:c r="I43" s="34" t="n">
        <x:f>'直接配方'!$F$25*I11+'直接配方'!$F$26*I35</x:f>
        <x:v>2.1393270429054656</x:v>
      </x:c>
      <x:c r="J43" s="34" t="n">
        <x:f>'直接配方'!$F$25*J11+'直接配方'!$F$26*J35</x:f>
        <x:v>0</x:v>
      </x:c>
      <x:c r="K43" s="34" t="n">
        <x:f>'直接配方'!$F$25*K11+'直接配方'!$F$26*K35</x:f>
        <x:v>0</x:v>
      </x:c>
      <x:c r="L43" s="34" t="n">
        <x:f>'直接配方'!$F$25*L11+'直接配方'!$F$26*L35</x:f>
        <x:v>0</x:v>
      </x:c>
      <x:c r="M43" s="34" t="n">
        <x:f>'直接配方'!$F$25*M11+'直接配方'!$F$26*M35</x:f>
        <x:v>0</x:v>
      </x:c>
      <x:c r="N43" s="34" t="n">
        <x:f>'直接配方'!$F$25*N11+'直接配方'!$F$26*N35</x:f>
        <x:v>0</x:v>
      </x:c>
      <x:c r="O43" s="34" t="n">
        <x:f>'直接配方'!$F$25*O11+'直接配方'!$F$26*O35</x:f>
        <x:v>0</x:v>
      </x:c>
      <x:c r="P43" s="34" t="n">
        <x:f>'直接配方'!$F$25*P11+'直接配方'!$F$26*P35</x:f>
        <x:v>0</x:v>
      </x:c>
      <x:c r="Q43" s="34" t="n">
        <x:f>'直接配方'!$F$25*Q11+'直接配方'!$F$26*Q35</x:f>
        <x:v>0</x:v>
      </x:c>
      <x:c r="R43" s="34" t="n">
        <x:f>'直接配方'!$F$25*R11+'直接配方'!$F$26*R35</x:f>
        <x:v>0</x:v>
      </x:c>
      <x:c r="S43" s="34" t="n">
        <x:f>'直接配方'!$F$25*S11+'直接配方'!$F$26*S35</x:f>
        <x:v>0</x:v>
      </x:c>
      <x:c r="T43" s="34" t="n">
        <x:f>'直接配方'!$F$25*T11+'直接配方'!$F$26*T35</x:f>
        <x:v>0</x:v>
      </x:c>
      <x:c r="U43" s="34" t="n">
        <x:f>'直接配方'!$F$25*U11+'直接配方'!$F$26*U35</x:f>
        <x:v>0</x:v>
      </x:c>
      <x:c r="V43" s="34" t="n">
        <x:f>'直接配方'!$F$25*V11+'直接配方'!$F$26*V35</x:f>
        <x:v>0</x:v>
      </x:c>
      <x:c r="W43" s="34" t="n">
        <x:f>'直接配方'!$F$25*W11+'直接配方'!$F$26*W35</x:f>
        <x:v>0</x:v>
      </x:c>
      <x:c r="X43" s="34" t="n">
        <x:f>'直接配方'!$F$25*X11+'直接配方'!$F$26*X35</x:f>
        <x:v>0</x:v>
      </x:c>
      <x:c r="Y43" s="34" t="n">
        <x:f>'直接配方'!$F$25*Y11+'直接配方'!$F$26*Y35</x:f>
        <x:v>0</x:v>
      </x:c>
      <x:c r="Z43" s="34" t="n">
        <x:f>'直接配方'!$F$25*Z11+'直接配方'!$F$26*Z35</x:f>
        <x:v>0</x:v>
      </x:c>
      <x:c r="AA43" s="34" t="n">
        <x:f>'直接配方'!$F$25*AA11+'直接配方'!$F$26*AA35</x:f>
        <x:v>0</x:v>
      </x:c>
      <x:c r="AB43" s="34" t="n">
        <x:f>'直接配方'!$F$25*AB11+'直接配方'!$F$26*AB35</x:f>
        <x:v>0</x:v>
      </x:c>
      <x:c r="AC43" s="34" t="n">
        <x:f>'直接配方'!$F$25*AC11+'直接配方'!$F$26*AC35</x:f>
        <x:v>0</x:v>
      </x:c>
    </x:row>
    <x:row r="44" ht="40" customHeight="1">
      <x:c r="A44" s="22" t="str">
        <x:v>M_SIP</x:v>
      </x:c>
      <x:c r="B44" s="22" t="str">
        <x:v>太阳能级硅</x:v>
      </x:c>
      <x:c r="C44" s="22" t="str">
        <x:v>kg</x:v>
      </x:c>
      <x:c r="D44" s="34" t="n">
        <x:f>'直接配方'!$F$27*D43</x:f>
        <x:v>2.8508693846062543</x:v>
      </x:c>
      <x:c r="E44" s="34" t="n">
        <x:f>'直接配方'!$F$27*E43</x:f>
        <x:v>3.482206792870848</x:v>
      </x:c>
      <x:c r="F44" s="34" t="n">
        <x:f>'直接配方'!$F$27*F43</x:f>
        <x:v>0</x:v>
      </x:c>
      <x:c r="G44" s="34" t="n">
        <x:f>'直接配方'!$F$27*G43</x:f>
        <x:v>0</x:v>
      </x:c>
      <x:c r="H44" s="34" t="n">
        <x:f>'直接配方'!$F$27*H43</x:f>
        <x:v>0</x:v>
      </x:c>
      <x:c r="I44" s="34" t="n">
        <x:f>'直接配方'!$F$27*I43</x:f>
        <x:v>2.3770300476727395</x:v>
      </x:c>
      <x:c r="J44" s="34" t="n">
        <x:f>'直接配方'!$F$27*J43</x:f>
        <x:v>0</x:v>
      </x:c>
      <x:c r="K44" s="34" t="n">
        <x:f>'直接配方'!$F$27*K43</x:f>
        <x:v>0</x:v>
      </x:c>
      <x:c r="L44" s="34" t="n">
        <x:f>'直接配方'!$F$27*L43</x:f>
        <x:v>0</x:v>
      </x:c>
      <x:c r="M44" s="34" t="n">
        <x:f>'直接配方'!$F$27*M43</x:f>
        <x:v>0</x:v>
      </x:c>
      <x:c r="N44" s="34" t="n">
        <x:f>'直接配方'!$F$27*N43</x:f>
        <x:v>0</x:v>
      </x:c>
      <x:c r="O44" s="34" t="n">
        <x:f>'直接配方'!$F$27*O43</x:f>
        <x:v>0</x:v>
      </x:c>
      <x:c r="P44" s="34" t="n">
        <x:f>'直接配方'!$F$27*P43</x:f>
        <x:v>0</x:v>
      </x:c>
      <x:c r="Q44" s="34" t="n">
        <x:f>'直接配方'!$F$27*Q43</x:f>
        <x:v>0</x:v>
      </x:c>
      <x:c r="R44" s="34" t="n">
        <x:f>'直接配方'!$F$27*R43</x:f>
        <x:v>0</x:v>
      </x:c>
      <x:c r="S44" s="34" t="n">
        <x:f>'直接配方'!$F$27*S43</x:f>
        <x:v>0</x:v>
      </x:c>
      <x:c r="T44" s="34" t="n">
        <x:f>'直接配方'!$F$27*T43</x:f>
        <x:v>0</x:v>
      </x:c>
      <x:c r="U44" s="34" t="n">
        <x:f>'直接配方'!$F$27*U43</x:f>
        <x:v>0</x:v>
      </x:c>
      <x:c r="V44" s="34" t="n">
        <x:f>'直接配方'!$F$27*V43</x:f>
        <x:v>0</x:v>
      </x:c>
      <x:c r="W44" s="34" t="n">
        <x:f>'直接配方'!$F$27*W43</x:f>
        <x:v>0</x:v>
      </x:c>
      <x:c r="X44" s="34" t="n">
        <x:f>'直接配方'!$F$27*X43</x:f>
        <x:v>0</x:v>
      </x:c>
      <x:c r="Y44" s="34" t="n">
        <x:f>'直接配方'!$F$27*Y43</x:f>
        <x:v>0</x:v>
      </x:c>
      <x:c r="Z44" s="34" t="n">
        <x:f>'直接配方'!$F$27*Z43</x:f>
        <x:v>0</x:v>
      </x:c>
      <x:c r="AA44" s="34" t="n">
        <x:f>'直接配方'!$F$27*AA43</x:f>
        <x:v>0</x:v>
      </x:c>
      <x:c r="AB44" s="34" t="n">
        <x:f>'直接配方'!$F$27*AB43</x:f>
        <x:v>0</x:v>
      </x:c>
      <x:c r="AC44" s="34" t="n">
        <x:f>'直接配方'!$F$27*AC43</x:f>
        <x:v>0</x:v>
      </x:c>
    </x:row>
    <x:row r="45" ht="40" customHeight="1">
      <x:c r="A45" s="22" t="str">
        <x:v>M_MEOH</x:v>
      </x:c>
      <x:c r="B45" s="22" t="str">
        <x:v>甲醇</x:v>
      </x:c>
      <x:c r="C45" s="22" t="str">
        <x:v>kg</x:v>
      </x:c>
      <x:c r="D45" s="34" t="n">
        <x:f>'直接配方'!$F$28*D7+'直接配方'!$F$29*D33</x:f>
        <x:v>1.6866924661381937</x:v>
      </x:c>
      <x:c r="E45" s="34" t="n">
        <x:f>'直接配方'!$F$28*E7+'直接配方'!$F$29*E33</x:f>
        <x:v>1.3734785593907994</x:v>
      </x:c>
      <x:c r="F45" s="34" t="n">
        <x:f>'直接配方'!$F$28*F7+'直接配方'!$F$29*F33</x:f>
        <x:v>0</x:v>
      </x:c>
      <x:c r="G45" s="34" t="n">
        <x:f>'直接配方'!$F$28*G7+'直接配方'!$F$29*G33</x:f>
        <x:v>0</x:v>
      </x:c>
      <x:c r="H45" s="34" t="n">
        <x:f>'直接配方'!$F$28*H7+'直接配方'!$F$29*H33</x:f>
        <x:v>0</x:v>
      </x:c>
      <x:c r="I45" s="34" t="n">
        <x:f>'直接配方'!$F$28*I7+'直接配方'!$F$29*I33</x:f>
        <x:v>0</x:v>
      </x:c>
      <x:c r="J45" s="34" t="n">
        <x:f>'直接配方'!$F$28*J7+'直接配方'!$F$29*J33</x:f>
        <x:v>0</x:v>
      </x:c>
      <x:c r="K45" s="34" t="n">
        <x:f>'直接配方'!$F$28*K7+'直接配方'!$F$29*K33</x:f>
        <x:v>0</x:v>
      </x:c>
      <x:c r="L45" s="34" t="n">
        <x:f>'直接配方'!$F$28*L7+'直接配方'!$F$29*L33</x:f>
        <x:v>0</x:v>
      </x:c>
      <x:c r="M45" s="34" t="n">
        <x:f>'直接配方'!$F$28*M7+'直接配方'!$F$29*M33</x:f>
        <x:v>0</x:v>
      </x:c>
      <x:c r="N45" s="34" t="n">
        <x:f>'直接配方'!$F$28*N7+'直接配方'!$F$29*N33</x:f>
        <x:v>0</x:v>
      </x:c>
      <x:c r="O45" s="34" t="n">
        <x:f>'直接配方'!$F$28*O7+'直接配方'!$F$29*O33</x:f>
        <x:v>0</x:v>
      </x:c>
      <x:c r="P45" s="34" t="n">
        <x:f>'直接配方'!$F$28*P7+'直接配方'!$F$29*P33</x:f>
        <x:v>0</x:v>
      </x:c>
      <x:c r="Q45" s="34" t="n">
        <x:f>'直接配方'!$F$28*Q7+'直接配方'!$F$29*Q33</x:f>
        <x:v>0</x:v>
      </x:c>
      <x:c r="R45" s="34" t="n">
        <x:f>'直接配方'!$F$28*R7+'直接配方'!$F$29*R33</x:f>
        <x:v>0</x:v>
      </x:c>
      <x:c r="S45" s="34" t="n">
        <x:f>'直接配方'!$F$28*S7+'直接配方'!$F$29*S33</x:f>
        <x:v>0</x:v>
      </x:c>
      <x:c r="T45" s="34" t="n">
        <x:f>'直接配方'!$F$28*T7+'直接配方'!$F$29*T33</x:f>
        <x:v>0</x:v>
      </x:c>
      <x:c r="U45" s="34" t="n">
        <x:f>'直接配方'!$F$28*U7+'直接配方'!$F$29*U33</x:f>
        <x:v>0</x:v>
      </x:c>
      <x:c r="V45" s="34" t="n">
        <x:f>'直接配方'!$F$28*V7+'直接配方'!$F$29*V33</x:f>
        <x:v>0</x:v>
      </x:c>
      <x:c r="W45" s="34" t="n">
        <x:f>'直接配方'!$F$28*W7+'直接配方'!$F$29*W33</x:f>
        <x:v>0</x:v>
      </x:c>
      <x:c r="X45" s="34" t="n">
        <x:f>'直接配方'!$F$28*X7+'直接配方'!$F$29*X33</x:f>
        <x:v>0</x:v>
      </x:c>
      <x:c r="Y45" s="34" t="n">
        <x:f>'直接配方'!$F$28*Y7+'直接配方'!$F$29*Y33</x:f>
        <x:v>0</x:v>
      </x:c>
      <x:c r="Z45" s="34" t="n">
        <x:f>'直接配方'!$F$28*Z7+'直接配方'!$F$29*Z33</x:f>
        <x:v>0</x:v>
      </x:c>
      <x:c r="AA45" s="34" t="n">
        <x:f>'直接配方'!$F$28*AA7+'直接配方'!$F$29*AA33</x:f>
        <x:v>0</x:v>
      </x:c>
      <x:c r="AB45" s="34" t="n">
        <x:f>'直接配方'!$F$28*AB7+'直接配方'!$F$29*AB33</x:f>
        <x:v>0</x:v>
      </x:c>
      <x:c r="AC45" s="34" t="n">
        <x:f>'直接配方'!$F$28*AC7+'直接配方'!$F$29*AC33</x:f>
        <x:v>0</x:v>
      </x:c>
    </x:row>
    <x:row r="46" ht="40" customHeight="1">
      <x:c r="A46" s="22" t="str">
        <x:v>M_PE</x:v>
      </x:c>
      <x:c r="B46" s="22" t="str">
        <x:v>聚乙烯</x:v>
      </x:c>
      <x:c r="C46" s="22" t="str">
        <x:v>kg</x:v>
      </x:c>
      <x:c r="D46" s="34" t="n">
        <x:f>'直接配方'!$F$30*D45</x:f>
        <x:v>3.852926498894989</x:v>
      </x:c>
      <x:c r="E46" s="34" t="n">
        <x:f>'直接配方'!$F$30*E45</x:f>
        <x:v>3.1374492051044416</x:v>
      </x:c>
      <x:c r="F46" s="34" t="n">
        <x:f>'直接配方'!$F$30*F45</x:f>
        <x:v>0</x:v>
      </x:c>
      <x:c r="G46" s="34" t="n">
        <x:f>'直接配方'!$F$30*G45</x:f>
        <x:v>0</x:v>
      </x:c>
      <x:c r="H46" s="34" t="n">
        <x:f>'直接配方'!$F$30*H45</x:f>
        <x:v>0</x:v>
      </x:c>
      <x:c r="I46" s="34" t="n">
        <x:f>'直接配方'!$F$30*I45</x:f>
        <x:v>0</x:v>
      </x:c>
      <x:c r="J46" s="34" t="n">
        <x:f>'直接配方'!$F$30*J45</x:f>
        <x:v>0</x:v>
      </x:c>
      <x:c r="K46" s="34" t="n">
        <x:f>'直接配方'!$F$30*K45</x:f>
        <x:v>0</x:v>
      </x:c>
      <x:c r="L46" s="34" t="n">
        <x:f>'直接配方'!$F$30*L45</x:f>
        <x:v>0</x:v>
      </x:c>
      <x:c r="M46" s="34" t="n">
        <x:f>'直接配方'!$F$30*M45</x:f>
        <x:v>0</x:v>
      </x:c>
      <x:c r="N46" s="34" t="n">
        <x:f>'直接配方'!$F$30*N45</x:f>
        <x:v>0</x:v>
      </x:c>
      <x:c r="O46" s="34" t="n">
        <x:f>'直接配方'!$F$30*O45</x:f>
        <x:v>0</x:v>
      </x:c>
      <x:c r="P46" s="34" t="n">
        <x:f>'直接配方'!$F$30*P45</x:f>
        <x:v>0</x:v>
      </x:c>
      <x:c r="Q46" s="34" t="n">
        <x:f>'直接配方'!$F$30*Q45</x:f>
        <x:v>0</x:v>
      </x:c>
      <x:c r="R46" s="34" t="n">
        <x:f>'直接配方'!$F$30*R45</x:f>
        <x:v>0</x:v>
      </x:c>
      <x:c r="S46" s="34" t="n">
        <x:f>'直接配方'!$F$30*S45</x:f>
        <x:v>0</x:v>
      </x:c>
      <x:c r="T46" s="34" t="n">
        <x:f>'直接配方'!$F$30*T45</x:f>
        <x:v>0</x:v>
      </x:c>
      <x:c r="U46" s="34" t="n">
        <x:f>'直接配方'!$F$30*U45</x:f>
        <x:v>0</x:v>
      </x:c>
      <x:c r="V46" s="34" t="n">
        <x:f>'直接配方'!$F$30*V45</x:f>
        <x:v>0</x:v>
      </x:c>
      <x:c r="W46" s="34" t="n">
        <x:f>'直接配方'!$F$30*W45</x:f>
        <x:v>0</x:v>
      </x:c>
      <x:c r="X46" s="34" t="n">
        <x:f>'直接配方'!$F$30*X45</x:f>
        <x:v>0</x:v>
      </x:c>
      <x:c r="Y46" s="34" t="n">
        <x:f>'直接配方'!$F$30*Y45</x:f>
        <x:v>0</x:v>
      </x:c>
      <x:c r="Z46" s="34" t="n">
        <x:f>'直接配方'!$F$30*Z45</x:f>
        <x:v>0</x:v>
      </x:c>
      <x:c r="AA46" s="34" t="n">
        <x:f>'直接配方'!$F$30*AA45</x:f>
        <x:v>0</x:v>
      </x:c>
      <x:c r="AB46" s="34" t="n">
        <x:f>'直接配方'!$F$30*AB45</x:f>
        <x:v>0</x:v>
      </x:c>
      <x:c r="AC46" s="34" t="n">
        <x:f>'直接配方'!$F$30*AC45</x:f>
        <x:v>0</x:v>
      </x:c>
    </x:row>
    <x:row r="47" ht="40" customHeight="1">
      <x:c r="A47" s="22" t="str">
        <x:v>M_PDMS</x:v>
      </x:c>
      <x:c r="B47" s="22" t="str">
        <x:v>硅橡胶基体PDMS</x:v>
      </x:c>
      <x:c r="C47" s="22" t="str">
        <x:v>kg</x:v>
      </x:c>
      <x:c r="D47" s="34" t="n">
        <x:f>'直接配方'!$F$31*D43+'直接配方'!$F$32*D45</x:f>
        <x:v>2.4294036734363624</x:v>
      </x:c>
      <x:c r="E47" s="34" t="n">
        <x:f>'直接配方'!$F$31*E43+'直接配方'!$F$32*E45</x:f>
        <x:v>2.373924535426275</x:v>
      </x:c>
      <x:c r="F47" s="34" t="n">
        <x:f>'直接配方'!$F$31*F43+'直接配方'!$F$32*F45</x:f>
        <x:v>0</x:v>
      </x:c>
      <x:c r="G47" s="34" t="n">
        <x:f>'直接配方'!$F$31*G43+'直接配方'!$F$32*G45</x:f>
        <x:v>0</x:v>
      </x:c>
      <x:c r="H47" s="34" t="n">
        <x:f>'直接配方'!$F$31*H43+'直接配方'!$F$32*H45</x:f>
        <x:v>0</x:v>
      </x:c>
      <x:c r="I47" s="34" t="n">
        <x:f>'直接配方'!$F$31*I43+'直接配方'!$F$32*I45</x:f>
        <x:v>0.8102462443023979</x:v>
      </x:c>
      <x:c r="J47" s="34" t="n">
        <x:f>'直接配方'!$F$31*J43+'直接配方'!$F$32*J45</x:f>
        <x:v>0</x:v>
      </x:c>
      <x:c r="K47" s="34" t="n">
        <x:f>'直接配方'!$F$31*K43+'直接配方'!$F$32*K45</x:f>
        <x:v>0</x:v>
      </x:c>
      <x:c r="L47" s="34" t="n">
        <x:f>'直接配方'!$F$31*L43+'直接配方'!$F$32*L45</x:f>
        <x:v>0</x:v>
      </x:c>
      <x:c r="M47" s="34" t="n">
        <x:f>'直接配方'!$F$31*M43+'直接配方'!$F$32*M45</x:f>
        <x:v>0</x:v>
      </x:c>
      <x:c r="N47" s="34" t="n">
        <x:f>'直接配方'!$F$31*N43+'直接配方'!$F$32*N45</x:f>
        <x:v>0</x:v>
      </x:c>
      <x:c r="O47" s="34" t="n">
        <x:f>'直接配方'!$F$31*O43+'直接配方'!$F$32*O45</x:f>
        <x:v>0</x:v>
      </x:c>
      <x:c r="P47" s="34" t="n">
        <x:f>'直接配方'!$F$31*P43+'直接配方'!$F$32*P45</x:f>
        <x:v>0</x:v>
      </x:c>
      <x:c r="Q47" s="34" t="n">
        <x:f>'直接配方'!$F$31*Q43+'直接配方'!$F$32*Q45</x:f>
        <x:v>0</x:v>
      </x:c>
      <x:c r="R47" s="34" t="n">
        <x:f>'直接配方'!$F$31*R43+'直接配方'!$F$32*R45</x:f>
        <x:v>0</x:v>
      </x:c>
      <x:c r="S47" s="34" t="n">
        <x:f>'直接配方'!$F$31*S43+'直接配方'!$F$32*S45</x:f>
        <x:v>0</x:v>
      </x:c>
      <x:c r="T47" s="34" t="n">
        <x:f>'直接配方'!$F$31*T43+'直接配方'!$F$32*T45</x:f>
        <x:v>0</x:v>
      </x:c>
      <x:c r="U47" s="34" t="n">
        <x:f>'直接配方'!$F$31*U43+'直接配方'!$F$32*U45</x:f>
        <x:v>0</x:v>
      </x:c>
      <x:c r="V47" s="34" t="n">
        <x:f>'直接配方'!$F$31*V43+'直接配方'!$F$32*V45</x:f>
        <x:v>0</x:v>
      </x:c>
      <x:c r="W47" s="34" t="n">
        <x:f>'直接配方'!$F$31*W43+'直接配方'!$F$32*W45</x:f>
        <x:v>0</x:v>
      </x:c>
      <x:c r="X47" s="34" t="n">
        <x:f>'直接配方'!$F$31*X43+'直接配方'!$F$32*X45</x:f>
        <x:v>0</x:v>
      </x:c>
      <x:c r="Y47" s="34" t="n">
        <x:f>'直接配方'!$F$31*Y43+'直接配方'!$F$32*Y45</x:f>
        <x:v>0</x:v>
      </x:c>
      <x:c r="Z47" s="34" t="n">
        <x:f>'直接配方'!$F$31*Z43+'直接配方'!$F$32*Z45</x:f>
        <x:v>0</x:v>
      </x:c>
      <x:c r="AA47" s="34" t="n">
        <x:f>'直接配方'!$F$31*AA43+'直接配方'!$F$32*AA45</x:f>
        <x:v>0</x:v>
      </x:c>
      <x:c r="AB47" s="34" t="n">
        <x:f>'直接配方'!$F$31*AB43+'直接配方'!$F$32*AB45</x:f>
        <x:v>0</x:v>
      </x:c>
      <x:c r="AC47" s="34" t="n">
        <x:f>'直接配方'!$F$31*AC43+'直接配方'!$F$32*AC45</x:f>
        <x:v>0</x:v>
      </x:c>
    </x:row>
    <x:row r="48" ht="40" customHeight="1">
      <x:c r="A48" s="22" t="str">
        <x:v>M_GL</x:v>
      </x:c>
      <x:c r="B48" s="22" t="str">
        <x:v>熔融石英玻璃</x:v>
      </x:c>
      <x:c r="C48" s="22" t="str">
        <x:v>kg</x:v>
      </x:c>
      <x:c r="D48" s="34" t="n">
        <x:f>'直接配方'!$F$33*D11</x:f>
        <x:v>0</x:v>
      </x:c>
      <x:c r="E48" s="34" t="n">
        <x:f>'直接配方'!$F$33*E11</x:f>
        <x:v>0</x:v>
      </x:c>
      <x:c r="F48" s="34" t="n">
        <x:f>'直接配方'!$F$33*F11</x:f>
        <x:v>0</x:v>
      </x:c>
      <x:c r="G48" s="34" t="n">
        <x:f>'直接配方'!$F$33*G11</x:f>
        <x:v>0</x:v>
      </x:c>
      <x:c r="H48" s="34" t="n">
        <x:f>'直接配方'!$F$33*H11</x:f>
        <x:v>0</x:v>
      </x:c>
      <x:c r="I48" s="34" t="n">
        <x:f>'直接配方'!$F$33*I11</x:f>
        <x:v>1.0526315789473684</x:v>
      </x:c>
      <x:c r="J48" s="34" t="n">
        <x:f>'直接配方'!$F$33*J11</x:f>
        <x:v>0</x:v>
      </x:c>
      <x:c r="K48" s="34" t="n">
        <x:f>'直接配方'!$F$33*K11</x:f>
        <x:v>0</x:v>
      </x:c>
      <x:c r="L48" s="34" t="n">
        <x:f>'直接配方'!$F$33*L11</x:f>
        <x:v>0</x:v>
      </x:c>
      <x:c r="M48" s="34" t="n">
        <x:f>'直接配方'!$F$33*M11</x:f>
        <x:v>0</x:v>
      </x:c>
      <x:c r="N48" s="34" t="n">
        <x:f>'直接配方'!$F$33*N11</x:f>
        <x:v>0</x:v>
      </x:c>
      <x:c r="O48" s="34" t="n">
        <x:f>'直接配方'!$F$33*O11</x:f>
        <x:v>0</x:v>
      </x:c>
      <x:c r="P48" s="34" t="n">
        <x:f>'直接配方'!$F$33*P11</x:f>
        <x:v>0</x:v>
      </x:c>
      <x:c r="Q48" s="34" t="n">
        <x:f>'直接配方'!$F$33*Q11</x:f>
        <x:v>0</x:v>
      </x:c>
      <x:c r="R48" s="34" t="n">
        <x:f>'直接配方'!$F$33*R11</x:f>
        <x:v>0</x:v>
      </x:c>
      <x:c r="S48" s="34" t="n">
        <x:f>'直接配方'!$F$33*S11</x:f>
        <x:v>0</x:v>
      </x:c>
      <x:c r="T48" s="34" t="n">
        <x:f>'直接配方'!$F$33*T11</x:f>
        <x:v>0</x:v>
      </x:c>
      <x:c r="U48" s="34" t="n">
        <x:f>'直接配方'!$F$33*U11</x:f>
        <x:v>0</x:v>
      </x:c>
      <x:c r="V48" s="34" t="n">
        <x:f>'直接配方'!$F$33*V11</x:f>
        <x:v>0</x:v>
      </x:c>
      <x:c r="W48" s="34" t="n">
        <x:f>'直接配方'!$F$33*W11</x:f>
        <x:v>0</x:v>
      </x:c>
      <x:c r="X48" s="34" t="n">
        <x:f>'直接配方'!$F$33*X11</x:f>
        <x:v>0</x:v>
      </x:c>
      <x:c r="Y48" s="34" t="n">
        <x:f>'直接配方'!$F$33*Y11</x:f>
        <x:v>0</x:v>
      </x:c>
      <x:c r="Z48" s="34" t="n">
        <x:f>'直接配方'!$F$33*Z11</x:f>
        <x:v>0</x:v>
      </x:c>
      <x:c r="AA48" s="34" t="n">
        <x:f>'直接配方'!$F$33*AA11</x:f>
        <x:v>0</x:v>
      </x:c>
      <x:c r="AB48" s="34" t="n">
        <x:f>'直接配方'!$F$33*AB11</x:f>
        <x:v>0</x:v>
      </x:c>
      <x:c r="AC48" s="34" t="n">
        <x:f>'直接配方'!$F$33*AC11</x:f>
        <x:v>0</x:v>
      </x:c>
    </x:row>
    <x:row r="49" ht="40" customHeight="1">
      <x:c r="A49" s="22" t="str">
        <x:v>M_CER</x:v>
      </x:c>
      <x:c r="B49" s="22" t="str">
        <x:v>烧结陶瓷/耐火件</x:v>
      </x:c>
      <x:c r="C49" s="22" t="str">
        <x:v>kg</x:v>
      </x:c>
      <x:c r="D49" s="34" t="n">
        <x:f>'直接配方'!$F$34*D10</x:f>
        <x:v>0</x:v>
      </x:c>
      <x:c r="E49" s="34" t="n">
        <x:f>'直接配方'!$F$34*E10</x:f>
        <x:v>0</x:v>
      </x:c>
      <x:c r="F49" s="34" t="n">
        <x:f>'直接配方'!$F$34*F10</x:f>
        <x:v>0</x:v>
      </x:c>
      <x:c r="G49" s="34" t="n">
        <x:f>'直接配方'!$F$34*G10</x:f>
        <x:v>0</x:v>
      </x:c>
      <x:c r="H49" s="34" t="n">
        <x:f>'直接配方'!$F$34*H10</x:f>
        <x:v>1.1111111111111112</x:v>
      </x:c>
      <x:c r="I49" s="34" t="n">
        <x:f>'直接配方'!$F$34*I10</x:f>
        <x:v>0</x:v>
      </x:c>
      <x:c r="J49" s="34" t="n">
        <x:f>'直接配方'!$F$34*J10</x:f>
        <x:v>0</x:v>
      </x:c>
      <x:c r="K49" s="34" t="n">
        <x:f>'直接配方'!$F$34*K10</x:f>
        <x:v>0</x:v>
      </x:c>
      <x:c r="L49" s="34" t="n">
        <x:f>'直接配方'!$F$34*L10</x:f>
        <x:v>0</x:v>
      </x:c>
      <x:c r="M49" s="34" t="n">
        <x:f>'直接配方'!$F$34*M10</x:f>
        <x:v>0</x:v>
      </x:c>
      <x:c r="N49" s="34" t="n">
        <x:f>'直接配方'!$F$34*N10</x:f>
        <x:v>0</x:v>
      </x:c>
      <x:c r="O49" s="34" t="n">
        <x:f>'直接配方'!$F$34*O10</x:f>
        <x:v>0</x:v>
      </x:c>
      <x:c r="P49" s="34" t="n">
        <x:f>'直接配方'!$F$34*P10</x:f>
        <x:v>0</x:v>
      </x:c>
      <x:c r="Q49" s="34" t="n">
        <x:f>'直接配方'!$F$34*Q10</x:f>
        <x:v>0</x:v>
      </x:c>
      <x:c r="R49" s="34" t="n">
        <x:f>'直接配方'!$F$34*R10</x:f>
        <x:v>0</x:v>
      </x:c>
      <x:c r="S49" s="34" t="n">
        <x:f>'直接配方'!$F$34*S10</x:f>
        <x:v>0</x:v>
      </x:c>
      <x:c r="T49" s="34" t="n">
        <x:f>'直接配方'!$F$34*T10</x:f>
        <x:v>0</x:v>
      </x:c>
      <x:c r="U49" s="34" t="n">
        <x:f>'直接配方'!$F$34*U10</x:f>
        <x:v>0</x:v>
      </x:c>
      <x:c r="V49" s="34" t="n">
        <x:f>'直接配方'!$F$34*V10</x:f>
        <x:v>0</x:v>
      </x:c>
      <x:c r="W49" s="34" t="n">
        <x:f>'直接配方'!$F$34*W10</x:f>
        <x:v>0</x:v>
      </x:c>
      <x:c r="X49" s="34" t="n">
        <x:f>'直接配方'!$F$34*X10</x:f>
        <x:v>0</x:v>
      </x:c>
      <x:c r="Y49" s="34" t="n">
        <x:f>'直接配方'!$F$34*Y10</x:f>
        <x:v>0</x:v>
      </x:c>
      <x:c r="Z49" s="34" t="n">
        <x:f>'直接配方'!$F$34*Z10</x:f>
        <x:v>0</x:v>
      </x:c>
      <x:c r="AA49" s="34" t="n">
        <x:f>'直接配方'!$F$34*AA10</x:f>
        <x:v>0</x:v>
      </x:c>
      <x:c r="AB49" s="34" t="n">
        <x:f>'直接配方'!$F$34*AB10</x:f>
        <x:v>0</x:v>
      </x:c>
      <x:c r="AC49" s="34" t="n">
        <x:f>'直接配方'!$F$34*AC10</x:f>
        <x:v>0</x:v>
      </x:c>
    </x:row>
    <x:row r="50" ht="40" customHeight="1">
      <x:c r="A50" s="22" t="str">
        <x:v>M_FIB</x:v>
      </x:c>
      <x:c r="B50" s="22" t="str">
        <x:v>玄武岩纤维/岩棉</x:v>
      </x:c>
      <x:c r="C50" s="22" t="str">
        <x:v>kg</x:v>
      </x:c>
      <x:c r="D50" s="34" t="n">
        <x:f>'直接配方'!$F$35*D10</x:f>
        <x:v>0</x:v>
      </x:c>
      <x:c r="E50" s="34" t="n">
        <x:f>'直接配方'!$F$35*E10</x:f>
        <x:v>0</x:v>
      </x:c>
      <x:c r="F50" s="34" t="n">
        <x:f>'直接配方'!$F$35*F10</x:f>
        <x:v>0</x:v>
      </x:c>
      <x:c r="G50" s="34" t="n">
        <x:f>'直接配方'!$F$35*G10</x:f>
        <x:v>0</x:v>
      </x:c>
      <x:c r="H50" s="34" t="n">
        <x:f>'直接配方'!$F$35*H10</x:f>
        <x:v>1.1111111111111112</x:v>
      </x:c>
      <x:c r="I50" s="34" t="n">
        <x:f>'直接配方'!$F$35*I10</x:f>
        <x:v>0</x:v>
      </x:c>
      <x:c r="J50" s="34" t="n">
        <x:f>'直接配方'!$F$35*J10</x:f>
        <x:v>0</x:v>
      </x:c>
      <x:c r="K50" s="34" t="n">
        <x:f>'直接配方'!$F$35*K10</x:f>
        <x:v>0</x:v>
      </x:c>
      <x:c r="L50" s="34" t="n">
        <x:f>'直接配方'!$F$35*L10</x:f>
        <x:v>0</x:v>
      </x:c>
      <x:c r="M50" s="34" t="n">
        <x:f>'直接配方'!$F$35*M10</x:f>
        <x:v>0</x:v>
      </x:c>
      <x:c r="N50" s="34" t="n">
        <x:f>'直接配方'!$F$35*N10</x:f>
        <x:v>0</x:v>
      </x:c>
      <x:c r="O50" s="34" t="n">
        <x:f>'直接配方'!$F$35*O10</x:f>
        <x:v>0</x:v>
      </x:c>
      <x:c r="P50" s="34" t="n">
        <x:f>'直接配方'!$F$35*P10</x:f>
        <x:v>0</x:v>
      </x:c>
      <x:c r="Q50" s="34" t="n">
        <x:f>'直接配方'!$F$35*Q10</x:f>
        <x:v>0</x:v>
      </x:c>
      <x:c r="R50" s="34" t="n">
        <x:f>'直接配方'!$F$35*R10</x:f>
        <x:v>0</x:v>
      </x:c>
      <x:c r="S50" s="34" t="n">
        <x:f>'直接配方'!$F$35*S10</x:f>
        <x:v>0</x:v>
      </x:c>
      <x:c r="T50" s="34" t="n">
        <x:f>'直接配方'!$F$35*T10</x:f>
        <x:v>0</x:v>
      </x:c>
      <x:c r="U50" s="34" t="n">
        <x:f>'直接配方'!$F$35*U10</x:f>
        <x:v>0</x:v>
      </x:c>
      <x:c r="V50" s="34" t="n">
        <x:f>'直接配方'!$F$35*V10</x:f>
        <x:v>0</x:v>
      </x:c>
      <x:c r="W50" s="34" t="n">
        <x:f>'直接配方'!$F$35*W10</x:f>
        <x:v>0</x:v>
      </x:c>
      <x:c r="X50" s="34" t="n">
        <x:f>'直接配方'!$F$35*X10</x:f>
        <x:v>0</x:v>
      </x:c>
      <x:c r="Y50" s="34" t="n">
        <x:f>'直接配方'!$F$35*Y10</x:f>
        <x:v>0</x:v>
      </x:c>
      <x:c r="Z50" s="34" t="n">
        <x:f>'直接配方'!$F$35*Z10</x:f>
        <x:v>0</x:v>
      </x:c>
      <x:c r="AA50" s="34" t="n">
        <x:f>'直接配方'!$F$35*AA10</x:f>
        <x:v>0</x:v>
      </x:c>
      <x:c r="AB50" s="34" t="n">
        <x:f>'直接配方'!$F$35*AB10</x:f>
        <x:v>0</x:v>
      </x:c>
      <x:c r="AC50" s="34" t="n">
        <x:f>'直接配方'!$F$35*AC10</x:f>
        <x:v>0</x:v>
      </x:c>
    </x:row>
    <x:row r="51" ht="40" customHeight="1">
      <x:c r="A51" s="22" t="str">
        <x:v>M_SEAL</x:v>
      </x:c>
      <x:c r="B51" s="22" t="str">
        <x:v>填充硅橡胶</x:v>
      </x:c>
      <x:c r="C51" s="22" t="str">
        <x:v>kg</x:v>
      </x:c>
      <x:c r="D51" s="34" t="n">
        <x:f>'直接配方'!$F$36*D47+'直接配方'!$F$37*D11</x:f>
        <x:v>1.94352293874909</x:v>
      </x:c>
      <x:c r="E51" s="34" t="n">
        <x:f>'直接配方'!$F$36*E47+'直接配方'!$F$37*E11</x:f>
        <x:v>1.89913962834102</x:v>
      </x:c>
      <x:c r="F51" s="34" t="n">
        <x:f>'直接配方'!$F$36*F47+'直接配方'!$F$37*F11</x:f>
        <x:v>0</x:v>
      </x:c>
      <x:c r="G51" s="34" t="n">
        <x:f>'直接配方'!$F$36*G47+'直接配方'!$F$37*G11</x:f>
        <x:v>0</x:v>
      </x:c>
      <x:c r="H51" s="34" t="n">
        <x:f>'直接配方'!$F$36*H47+'直接配方'!$F$37*H11</x:f>
        <x:v>0</x:v>
      </x:c>
      <x:c r="I51" s="34" t="n">
        <x:f>'直接配方'!$F$36*I47+'直接配方'!$F$37*I11</x:f>
        <x:v>0.8481969954419184</x:v>
      </x:c>
      <x:c r="J51" s="34" t="n">
        <x:f>'直接配方'!$F$36*J47+'直接配方'!$F$37*J11</x:f>
        <x:v>0</x:v>
      </x:c>
      <x:c r="K51" s="34" t="n">
        <x:f>'直接配方'!$F$36*K47+'直接配方'!$F$37*K11</x:f>
        <x:v>0</x:v>
      </x:c>
      <x:c r="L51" s="34" t="n">
        <x:f>'直接配方'!$F$36*L47+'直接配方'!$F$37*L11</x:f>
        <x:v>0</x:v>
      </x:c>
      <x:c r="M51" s="34" t="n">
        <x:f>'直接配方'!$F$36*M47+'直接配方'!$F$37*M11</x:f>
        <x:v>0</x:v>
      </x:c>
      <x:c r="N51" s="34" t="n">
        <x:f>'直接配方'!$F$36*N47+'直接配方'!$F$37*N11</x:f>
        <x:v>0</x:v>
      </x:c>
      <x:c r="O51" s="34" t="n">
        <x:f>'直接配方'!$F$36*O47+'直接配方'!$F$37*O11</x:f>
        <x:v>0</x:v>
      </x:c>
      <x:c r="P51" s="34" t="n">
        <x:f>'直接配方'!$F$36*P47+'直接配方'!$F$37*P11</x:f>
        <x:v>0</x:v>
      </x:c>
      <x:c r="Q51" s="34" t="n">
        <x:f>'直接配方'!$F$36*Q47+'直接配方'!$F$37*Q11</x:f>
        <x:v>0</x:v>
      </x:c>
      <x:c r="R51" s="34" t="n">
        <x:f>'直接配方'!$F$36*R47+'直接配方'!$F$37*R11</x:f>
        <x:v>0</x:v>
      </x:c>
      <x:c r="S51" s="34" t="n">
        <x:f>'直接配方'!$F$36*S47+'直接配方'!$F$37*S11</x:f>
        <x:v>0</x:v>
      </x:c>
      <x:c r="T51" s="34" t="n">
        <x:f>'直接配方'!$F$36*T47+'直接配方'!$F$37*T11</x:f>
        <x:v>0</x:v>
      </x:c>
      <x:c r="U51" s="34" t="n">
        <x:f>'直接配方'!$F$36*U47+'直接配方'!$F$37*U11</x:f>
        <x:v>0</x:v>
      </x:c>
      <x:c r="V51" s="34" t="n">
        <x:f>'直接配方'!$F$36*V47+'直接配方'!$F$37*V11</x:f>
        <x:v>0</x:v>
      </x:c>
      <x:c r="W51" s="34" t="n">
        <x:f>'直接配方'!$F$36*W47+'直接配方'!$F$37*W11</x:f>
        <x:v>0</x:v>
      </x:c>
      <x:c r="X51" s="34" t="n">
        <x:f>'直接配方'!$F$36*X47+'直接配方'!$F$37*X11</x:f>
        <x:v>0</x:v>
      </x:c>
      <x:c r="Y51" s="34" t="n">
        <x:f>'直接配方'!$F$36*Y47+'直接配方'!$F$37*Y11</x:f>
        <x:v>0</x:v>
      </x:c>
      <x:c r="Z51" s="34" t="n">
        <x:f>'直接配方'!$F$36*Z47+'直接配方'!$F$37*Z11</x:f>
        <x:v>0</x:v>
      </x:c>
      <x:c r="AA51" s="34" t="n">
        <x:f>'直接配方'!$F$36*AA47+'直接配方'!$F$37*AA11</x:f>
        <x:v>0</x:v>
      </x:c>
      <x:c r="AB51" s="34" t="n">
        <x:f>'直接配方'!$F$36*AB47+'直接配方'!$F$37*AB11</x:f>
        <x:v>0</x:v>
      </x:c>
      <x:c r="AC51" s="34" t="n">
        <x:f>'直接配方'!$F$36*AC47+'直接配方'!$F$37*AC11</x:f>
        <x:v>0</x:v>
      </x:c>
    </x:row>
    <x:row r="52" ht="40" customHeight="1">
      <x:c r="A52" s="22" t="str">
        <x:v>M_LUB</x:v>
      </x:c>
      <x:c r="B52" s="22" t="str">
        <x:v>合成润滑基料</x:v>
      </x:c>
      <x:c r="C52" s="22" t="str">
        <x:v>kg</x:v>
      </x:c>
      <x:c r="D52" s="34" t="n">
        <x:f>'直接配方'!$F$38*D45</x:f>
        <x:v>3.852926498894989</x:v>
      </x:c>
      <x:c r="E52" s="34" t="n">
        <x:f>'直接配方'!$F$38*E45</x:f>
        <x:v>3.1374492051044416</x:v>
      </x:c>
      <x:c r="F52" s="34" t="n">
        <x:f>'直接配方'!$F$38*F45</x:f>
        <x:v>0</x:v>
      </x:c>
      <x:c r="G52" s="34" t="n">
        <x:f>'直接配方'!$F$38*G45</x:f>
        <x:v>0</x:v>
      </x:c>
      <x:c r="H52" s="34" t="n">
        <x:f>'直接配方'!$F$38*H45</x:f>
        <x:v>0</x:v>
      </x:c>
      <x:c r="I52" s="34" t="n">
        <x:f>'直接配方'!$F$38*I45</x:f>
        <x:v>0</x:v>
      </x:c>
      <x:c r="J52" s="34" t="n">
        <x:f>'直接配方'!$F$38*J45</x:f>
        <x:v>0</x:v>
      </x:c>
      <x:c r="K52" s="34" t="n">
        <x:f>'直接配方'!$F$38*K45</x:f>
        <x:v>0</x:v>
      </x:c>
      <x:c r="L52" s="34" t="n">
        <x:f>'直接配方'!$F$38*L45</x:f>
        <x:v>0</x:v>
      </x:c>
      <x:c r="M52" s="34" t="n">
        <x:f>'直接配方'!$F$38*M45</x:f>
        <x:v>0</x:v>
      </x:c>
      <x:c r="N52" s="34" t="n">
        <x:f>'直接配方'!$F$38*N45</x:f>
        <x:v>0</x:v>
      </x:c>
      <x:c r="O52" s="34" t="n">
        <x:f>'直接配方'!$F$38*O45</x:f>
        <x:v>0</x:v>
      </x:c>
      <x:c r="P52" s="34" t="n">
        <x:f>'直接配方'!$F$38*P45</x:f>
        <x:v>0</x:v>
      </x:c>
      <x:c r="Q52" s="34" t="n">
        <x:f>'直接配方'!$F$38*Q45</x:f>
        <x:v>0</x:v>
      </x:c>
      <x:c r="R52" s="34" t="n">
        <x:f>'直接配方'!$F$38*R45</x:f>
        <x:v>0</x:v>
      </x:c>
      <x:c r="S52" s="34" t="n">
        <x:f>'直接配方'!$F$38*S45</x:f>
        <x:v>0</x:v>
      </x:c>
      <x:c r="T52" s="34" t="n">
        <x:f>'直接配方'!$F$38*T45</x:f>
        <x:v>0</x:v>
      </x:c>
      <x:c r="U52" s="34" t="n">
        <x:f>'直接配方'!$F$38*U45</x:f>
        <x:v>0</x:v>
      </x:c>
      <x:c r="V52" s="34" t="n">
        <x:f>'直接配方'!$F$38*V45</x:f>
        <x:v>0</x:v>
      </x:c>
      <x:c r="W52" s="34" t="n">
        <x:f>'直接配方'!$F$38*W45</x:f>
        <x:v>0</x:v>
      </x:c>
      <x:c r="X52" s="34" t="n">
        <x:f>'直接配方'!$F$38*X45</x:f>
        <x:v>0</x:v>
      </x:c>
      <x:c r="Y52" s="34" t="n">
        <x:f>'直接配方'!$F$38*Y45</x:f>
        <x:v>0</x:v>
      </x:c>
      <x:c r="Z52" s="34" t="n">
        <x:f>'直接配方'!$F$38*Z45</x:f>
        <x:v>0</x:v>
      </x:c>
      <x:c r="AA52" s="34" t="n">
        <x:f>'直接配方'!$F$38*AA45</x:f>
        <x:v>0</x:v>
      </x:c>
      <x:c r="AB52" s="34" t="n">
        <x:f>'直接配方'!$F$38*AB45</x:f>
        <x:v>0</x:v>
      </x:c>
      <x:c r="AC52" s="34" t="n">
        <x:f>'直接配方'!$F$38*AC45</x:f>
        <x:v>0</x:v>
      </x:c>
    </x:row>
    <x:row r="53" ht="40" customHeight="1">
      <x:c r="A53" s="22" t="str">
        <x:v>M_NH3</x:v>
      </x:c>
      <x:c r="B53" s="22" t="str">
        <x:v>氨</x:v>
      </x:c>
      <x:c r="C53" s="22" t="str">
        <x:v>kg</x:v>
      </x:c>
      <x:c r="D53" s="34" t="n">
        <x:f>'直接配方'!$F$39*D8+'直接配方'!$F$40*D33</x:f>
        <x:v>1.5866654923375023</x:v>
      </x:c>
      <x:c r="E53" s="34" t="n">
        <x:f>'直接配方'!$F$39*E8+'直接配方'!$F$40*E33</x:f>
        <x:v>0</x:v>
      </x:c>
      <x:c r="F53" s="34" t="n">
        <x:f>'直接配方'!$F$39*F8+'直接配方'!$F$40*F33</x:f>
        <x:v>0.8224414303329224</x:v>
      </x:c>
      <x:c r="G53" s="34" t="n">
        <x:f>'直接配方'!$F$39*G8+'直接配方'!$F$40*G33</x:f>
        <x:v>0</x:v>
      </x:c>
      <x:c r="H53" s="34" t="n">
        <x:f>'直接配方'!$F$39*H8+'直接配方'!$F$40*H33</x:f>
        <x:v>0</x:v>
      </x:c>
      <x:c r="I53" s="34" t="n">
        <x:f>'直接配方'!$F$39*I8+'直接配方'!$F$40*I33</x:f>
        <x:v>0</x:v>
      </x:c>
      <x:c r="J53" s="34" t="n">
        <x:f>'直接配方'!$F$39*J8+'直接配方'!$F$40*J33</x:f>
        <x:v>0</x:v>
      </x:c>
      <x:c r="K53" s="34" t="n">
        <x:f>'直接配方'!$F$39*K8+'直接配方'!$F$40*K33</x:f>
        <x:v>0</x:v>
      </x:c>
      <x:c r="L53" s="34" t="n">
        <x:f>'直接配方'!$F$39*L8+'直接配方'!$F$40*L33</x:f>
        <x:v>0</x:v>
      </x:c>
      <x:c r="M53" s="34" t="n">
        <x:f>'直接配方'!$F$39*M8+'直接配方'!$F$40*M33</x:f>
        <x:v>0</x:v>
      </x:c>
      <x:c r="N53" s="34" t="n">
        <x:f>'直接配方'!$F$39*N8+'直接配方'!$F$40*N33</x:f>
        <x:v>0</x:v>
      </x:c>
      <x:c r="O53" s="34" t="n">
        <x:f>'直接配方'!$F$39*O8+'直接配方'!$F$40*O33</x:f>
        <x:v>0</x:v>
      </x:c>
      <x:c r="P53" s="34" t="n">
        <x:f>'直接配方'!$F$39*P8+'直接配方'!$F$40*P33</x:f>
        <x:v>0</x:v>
      </x:c>
      <x:c r="Q53" s="34" t="n">
        <x:f>'直接配方'!$F$39*Q8+'直接配方'!$F$40*Q33</x:f>
        <x:v>0</x:v>
      </x:c>
      <x:c r="R53" s="34" t="n">
        <x:f>'直接配方'!$F$39*R8+'直接配方'!$F$40*R33</x:f>
        <x:v>0</x:v>
      </x:c>
      <x:c r="S53" s="34" t="n">
        <x:f>'直接配方'!$F$39*S8+'直接配方'!$F$40*S33</x:f>
        <x:v>0</x:v>
      </x:c>
      <x:c r="T53" s="34" t="n">
        <x:f>'直接配方'!$F$39*T8+'直接配方'!$F$40*T33</x:f>
        <x:v>0</x:v>
      </x:c>
      <x:c r="U53" s="34" t="n">
        <x:f>'直接配方'!$F$39*U8+'直接配方'!$F$40*U33</x:f>
        <x:v>0</x:v>
      </x:c>
      <x:c r="V53" s="34" t="n">
        <x:f>'直接配方'!$F$39*V8+'直接配方'!$F$40*V33</x:f>
        <x:v>0</x:v>
      </x:c>
      <x:c r="W53" s="34" t="n">
        <x:f>'直接配方'!$F$39*W8+'直接配方'!$F$40*W33</x:f>
        <x:v>0</x:v>
      </x:c>
      <x:c r="X53" s="34" t="n">
        <x:f>'直接配方'!$F$39*X8+'直接配方'!$F$40*X33</x:f>
        <x:v>0</x:v>
      </x:c>
      <x:c r="Y53" s="34" t="n">
        <x:f>'直接配方'!$F$39*Y8+'直接配方'!$F$40*Y33</x:f>
        <x:v>0</x:v>
      </x:c>
      <x:c r="Z53" s="34" t="n">
        <x:f>'直接配方'!$F$39*Z8+'直接配方'!$F$40*Z33</x:f>
        <x:v>0</x:v>
      </x:c>
      <x:c r="AA53" s="34" t="n">
        <x:f>'直接配方'!$F$39*AA8+'直接配方'!$F$40*AA33</x:f>
        <x:v>0</x:v>
      </x:c>
      <x:c r="AB53" s="34" t="n">
        <x:f>'直接配方'!$F$39*AB8+'直接配方'!$F$40*AB33</x:f>
        <x:v>0</x:v>
      </x:c>
      <x:c r="AC53" s="34" t="n">
        <x:f>'直接配方'!$F$39*AC8+'直接配方'!$F$40*AC33</x:f>
        <x:v>0</x:v>
      </x:c>
    </x:row>
    <x:row r="54" ht="40" customHeight="1">
      <x:c r="A54" s="22" t="str">
        <x:v>M_HNO3</x:v>
      </x:c>
      <x:c r="B54" s="22" t="str">
        <x:v>硝酸当量</x:v>
      </x:c>
      <x:c r="C54" s="22" t="str">
        <x:v>kg</x:v>
      </x:c>
      <x:c r="D54" s="34" t="n">
        <x:f>'直接配方'!$F$41*D53+'直接配方'!$F$42*D34</x:f>
        <x:v>0.42884688630737006</x:v>
      </x:c>
      <x:c r="E54" s="34" t="n">
        <x:f>'直接配方'!$F$41*E53+'直接配方'!$F$42*E34</x:f>
        <x:v>2.79369009077636</x:v>
      </x:c>
      <x:c r="F54" s="34" t="n">
        <x:f>'直接配方'!$F$41*F53+'直接配方'!$F$42*F34</x:f>
        <x:v>0.22229099219196344</x:v>
      </x:c>
      <x:c r="G54" s="34" t="n">
        <x:f>'直接配方'!$F$41*G53+'直接配方'!$F$42*G34</x:f>
        <x:v>0</x:v>
      </x:c>
      <x:c r="H54" s="34" t="n">
        <x:f>'直接配方'!$F$41*H53+'直接配方'!$F$42*H34</x:f>
        <x:v>0</x:v>
      </x:c>
      <x:c r="I54" s="34" t="n">
        <x:f>'直接配方'!$F$41*I53+'直接配方'!$F$42*I34</x:f>
        <x:v>0</x:v>
      </x:c>
      <x:c r="J54" s="34" t="n">
        <x:f>'直接配方'!$F$41*J53+'直接配方'!$F$42*J34</x:f>
        <x:v>0</x:v>
      </x:c>
      <x:c r="K54" s="34" t="n">
        <x:f>'直接配方'!$F$41*K53+'直接配方'!$F$42*K34</x:f>
        <x:v>0</x:v>
      </x:c>
      <x:c r="L54" s="34" t="n">
        <x:f>'直接配方'!$F$41*L53+'直接配方'!$F$42*L34</x:f>
        <x:v>0</x:v>
      </x:c>
      <x:c r="M54" s="34" t="n">
        <x:f>'直接配方'!$F$41*M53+'直接配方'!$F$42*M34</x:f>
        <x:v>0</x:v>
      </x:c>
      <x:c r="N54" s="34" t="n">
        <x:f>'直接配方'!$F$41*N53+'直接配方'!$F$42*N34</x:f>
        <x:v>0</x:v>
      </x:c>
      <x:c r="O54" s="34" t="n">
        <x:f>'直接配方'!$F$41*O53+'直接配方'!$F$42*O34</x:f>
        <x:v>0</x:v>
      </x:c>
      <x:c r="P54" s="34" t="n">
        <x:f>'直接配方'!$F$41*P53+'直接配方'!$F$42*P34</x:f>
        <x:v>0</x:v>
      </x:c>
      <x:c r="Q54" s="34" t="n">
        <x:f>'直接配方'!$F$41*Q53+'直接配方'!$F$42*Q34</x:f>
        <x:v>0</x:v>
      </x:c>
      <x:c r="R54" s="34" t="n">
        <x:f>'直接配方'!$F$41*R53+'直接配方'!$F$42*R34</x:f>
        <x:v>0</x:v>
      </x:c>
      <x:c r="S54" s="34" t="n">
        <x:f>'直接配方'!$F$41*S53+'直接配方'!$F$42*S34</x:f>
        <x:v>0</x:v>
      </x:c>
      <x:c r="T54" s="34" t="n">
        <x:f>'直接配方'!$F$41*T53+'直接配方'!$F$42*T34</x:f>
        <x:v>0</x:v>
      </x:c>
      <x:c r="U54" s="34" t="n">
        <x:f>'直接配方'!$F$41*U53+'直接配方'!$F$42*U34</x:f>
        <x:v>0</x:v>
      </x:c>
      <x:c r="V54" s="34" t="n">
        <x:f>'直接配方'!$F$41*V53+'直接配方'!$F$42*V34</x:f>
        <x:v>0</x:v>
      </x:c>
      <x:c r="W54" s="34" t="n">
        <x:f>'直接配方'!$F$41*W53+'直接配方'!$F$42*W34</x:f>
        <x:v>0</x:v>
      </x:c>
      <x:c r="X54" s="34" t="n">
        <x:f>'直接配方'!$F$41*X53+'直接配方'!$F$42*X34</x:f>
        <x:v>0</x:v>
      </x:c>
      <x:c r="Y54" s="34" t="n">
        <x:f>'直接配方'!$F$41*Y53+'直接配方'!$F$42*Y34</x:f>
        <x:v>0</x:v>
      </x:c>
      <x:c r="Z54" s="34" t="n">
        <x:f>'直接配方'!$F$41*Z53+'直接配方'!$F$42*Z34</x:f>
        <x:v>0</x:v>
      </x:c>
      <x:c r="AA54" s="34" t="n">
        <x:f>'直接配方'!$F$41*AA53+'直接配方'!$F$42*AA34</x:f>
        <x:v>0</x:v>
      </x:c>
      <x:c r="AB54" s="34" t="n">
        <x:f>'直接配方'!$F$41*AB53+'直接配方'!$F$42*AB34</x:f>
        <x:v>0</x:v>
      </x:c>
      <x:c r="AC54" s="34" t="n">
        <x:f>'直接配方'!$F$41*AC53+'直接配方'!$F$42*AC34</x:f>
        <x:v>0</x:v>
      </x:c>
    </x:row>
    <x:row r="55" ht="40" customHeight="1">
      <x:c r="A55" s="22" t="str">
        <x:v>M_ACID</x:v>
      </x:c>
      <x:c r="B55" s="22" t="str">
        <x:v>硫酸当量</x:v>
      </x:c>
      <x:c r="C55" s="22" t="str">
        <x:v>kg</x:v>
      </x:c>
      <x:c r="D55" s="34" t="n">
        <x:f>'直接配方'!$F$43*D14+'直接配方'!$F$44*D34+'直接配方'!$F$45*D32</x:f>
        <x:v>0.18369157353780896</x:v>
      </x:c>
      <x:c r="E55" s="34" t="n">
        <x:f>'直接配方'!$F$43*E14+'直接配方'!$F$44*E34+'直接配方'!$F$45*E32</x:f>
        <x:v>1.3462252222856677</x:v>
      </x:c>
      <x:c r="F55" s="34" t="n">
        <x:f>'直接配方'!$F$43*F14+'直接配方'!$F$44*F34+'直接配方'!$F$45*F32</x:f>
        <x:v>0</x:v>
      </x:c>
      <x:c r="G55" s="34" t="n">
        <x:f>'直接配方'!$F$43*G14+'直接配方'!$F$44*G34+'直接配方'!$F$45*G32</x:f>
        <x:v>0</x:v>
      </x:c>
      <x:c r="H55" s="34" t="n">
        <x:f>'直接配方'!$F$43*H14+'直接配方'!$F$44*H34+'直接配方'!$F$45*H32</x:f>
        <x:v>0</x:v>
      </x:c>
      <x:c r="I55" s="34" t="n">
        <x:f>'直接配方'!$F$43*I14+'直接配方'!$F$44*I34+'直接配方'!$F$45*I32</x:f>
        <x:v>0</x:v>
      </x:c>
      <x:c r="J55" s="34" t="n">
        <x:f>'直接配方'!$F$43*J14+'直接配方'!$F$44*J34+'直接配方'!$F$45*J32</x:f>
        <x:v>0</x:v>
      </x:c>
      <x:c r="K55" s="34" t="n">
        <x:f>'直接配方'!$F$43*K14+'直接配方'!$F$44*K34+'直接配方'!$F$45*K32</x:f>
        <x:v>0</x:v>
      </x:c>
      <x:c r="L55" s="34" t="n">
        <x:f>'直接配方'!$F$43*L14+'直接配方'!$F$44*L34+'直接配方'!$F$45*L32</x:f>
        <x:v>0.3269026837425565</x:v>
      </x:c>
      <x:c r="M55" s="34" t="n">
        <x:f>'直接配方'!$F$43*M14+'直接配方'!$F$44*M34+'直接配方'!$F$45*M32</x:f>
        <x:v>0</x:v>
      </x:c>
      <x:c r="N55" s="34" t="n">
        <x:f>'直接配方'!$F$43*N14+'直接配方'!$F$44*N34+'直接配方'!$F$45*N32</x:f>
        <x:v>0</x:v>
      </x:c>
      <x:c r="O55" s="34" t="n">
        <x:f>'直接配方'!$F$43*O14+'直接配方'!$F$44*O34+'直接配方'!$F$45*O32</x:f>
        <x:v>0</x:v>
      </x:c>
      <x:c r="P55" s="34" t="n">
        <x:f>'直接配方'!$F$43*P14+'直接配方'!$F$44*P34+'直接配方'!$F$45*P32</x:f>
        <x:v>0</x:v>
      </x:c>
      <x:c r="Q55" s="34" t="n">
        <x:f>'直接配方'!$F$43*Q14+'直接配方'!$F$44*Q34+'直接配方'!$F$45*Q32</x:f>
        <x:v>0</x:v>
      </x:c>
      <x:c r="R55" s="34" t="n">
        <x:f>'直接配方'!$F$43*R14+'直接配方'!$F$44*R34+'直接配方'!$F$45*R32</x:f>
        <x:v>0</x:v>
      </x:c>
      <x:c r="S55" s="34" t="n">
        <x:f>'直接配方'!$F$43*S14+'直接配方'!$F$44*S34+'直接配方'!$F$45*S32</x:f>
        <x:v>0</x:v>
      </x:c>
      <x:c r="T55" s="34" t="n">
        <x:f>'直接配方'!$F$43*T14+'直接配方'!$F$44*T34+'直接配方'!$F$45*T32</x:f>
        <x:v>0</x:v>
      </x:c>
      <x:c r="U55" s="34" t="n">
        <x:f>'直接配方'!$F$43*U14+'直接配方'!$F$44*U34+'直接配方'!$F$45*U32</x:f>
        <x:v>0</x:v>
      </x:c>
      <x:c r="V55" s="34" t="n">
        <x:f>'直接配方'!$F$43*V14+'直接配方'!$F$44*V34+'直接配方'!$F$45*V32</x:f>
        <x:v>0</x:v>
      </x:c>
      <x:c r="W55" s="34" t="n">
        <x:f>'直接配方'!$F$43*W14+'直接配方'!$F$44*W34+'直接配方'!$F$45*W32</x:f>
        <x:v>0</x:v>
      </x:c>
      <x:c r="X55" s="34" t="n">
        <x:f>'直接配方'!$F$43*X14+'直接配方'!$F$44*X34+'直接配方'!$F$45*X32</x:f>
        <x:v>0</x:v>
      </x:c>
      <x:c r="Y55" s="34" t="n">
        <x:f>'直接配方'!$F$43*Y14+'直接配方'!$F$44*Y34+'直接配方'!$F$45*Y32</x:f>
        <x:v>0</x:v>
      </x:c>
      <x:c r="Z55" s="34" t="n">
        <x:f>'直接配方'!$F$43*Z14+'直接配方'!$F$44*Z34+'直接配方'!$F$45*Z32</x:f>
        <x:v>0</x:v>
      </x:c>
      <x:c r="AA55" s="34" t="n">
        <x:f>'直接配方'!$F$43*AA14+'直接配方'!$F$44*AA34+'直接配方'!$F$45*AA32</x:f>
        <x:v>0</x:v>
      </x:c>
      <x:c r="AB55" s="34" t="n">
        <x:f>'直接配方'!$F$43*AB14+'直接配方'!$F$44*AB34+'直接配方'!$F$45*AB32</x:f>
        <x:v>0</x:v>
      </x:c>
      <x:c r="AC55" s="34" t="n">
        <x:f>'直接配方'!$F$43*AC14+'直接配方'!$F$44*AC34+'直接配方'!$F$45*AC32</x:f>
        <x:v>0</x:v>
      </x:c>
    </x:row>
    <x:row r="56" ht="40" customHeight="1">
      <x:c r="A56" s="22" t="str">
        <x:v>M_PACID</x:v>
      </x:c>
      <x:c r="B56" s="22" t="str">
        <x:v>磷酸当量</x:v>
      </x:c>
      <x:c r="C56" s="22" t="str">
        <x:v>kg</x:v>
      </x:c>
      <x:c r="D56" s="34" t="n">
        <x:f>'直接配方'!$F$46*D15+'直接配方'!$F$47*D55+'直接配方'!$F$48*D32</x:f>
        <x:v>0.919188929934486</x:v>
      </x:c>
      <x:c r="E56" s="34" t="n">
        <x:f>'直接配方'!$F$46*E15+'直接配方'!$F$47*E55+'直接配方'!$F$48*E32</x:f>
        <x:v>2.245494622119722</x:v>
      </x:c>
      <x:c r="F56" s="34" t="n">
        <x:f>'直接配方'!$F$46*F15+'直接配方'!$F$47*F55+'直接配方'!$F$48*F32</x:f>
        <x:v>0</x:v>
      </x:c>
      <x:c r="G56" s="34" t="n">
        <x:f>'直接配方'!$F$46*G15+'直接配方'!$F$47*G55+'直接配方'!$F$48*G32</x:f>
        <x:v>0</x:v>
      </x:c>
      <x:c r="H56" s="34" t="n">
        <x:f>'直接配方'!$F$46*H15+'直接配方'!$F$47*H55+'直接配方'!$F$48*H32</x:f>
        <x:v>0</x:v>
      </x:c>
      <x:c r="I56" s="34" t="n">
        <x:f>'直接配方'!$F$46*I15+'直接配方'!$F$47*I55+'直接配方'!$F$48*I32</x:f>
        <x:v>0</x:v>
      </x:c>
      <x:c r="J56" s="34" t="n">
        <x:f>'直接配方'!$F$46*J15+'直接配方'!$F$47*J55+'直接配方'!$F$48*J32</x:f>
        <x:v>0</x:v>
      </x:c>
      <x:c r="K56" s="34" t="n">
        <x:f>'直接配方'!$F$46*K15+'直接配方'!$F$47*K55+'直接配方'!$F$48*K32</x:f>
        <x:v>0</x:v>
      </x:c>
      <x:c r="L56" s="34" t="n">
        <x:f>'直接配方'!$F$46*L15+'直接配方'!$F$47*L55+'直接配方'!$F$48*L32</x:f>
        <x:v>0.54527147920621</x:v>
      </x:c>
      <x:c r="M56" s="34" t="n">
        <x:f>'直接配方'!$F$46*M15+'直接配方'!$F$47*M55+'直接配方'!$F$48*M32</x:f>
        <x:v>1.715404344483676</x:v>
      </x:c>
      <x:c r="N56" s="34" t="n">
        <x:f>'直接配方'!$F$46*N15+'直接配方'!$F$47*N55+'直接配方'!$F$48*N32</x:f>
        <x:v>0</x:v>
      </x:c>
      <x:c r="O56" s="34" t="n">
        <x:f>'直接配方'!$F$46*O15+'直接配方'!$F$47*O55+'直接配方'!$F$48*O32</x:f>
        <x:v>0</x:v>
      </x:c>
      <x:c r="P56" s="34" t="n">
        <x:f>'直接配方'!$F$46*P15+'直接配方'!$F$47*P55+'直接配方'!$F$48*P32</x:f>
        <x:v>0</x:v>
      </x:c>
      <x:c r="Q56" s="34" t="n">
        <x:f>'直接配方'!$F$46*Q15+'直接配方'!$F$47*Q55+'直接配方'!$F$48*Q32</x:f>
        <x:v>0</x:v>
      </x:c>
      <x:c r="R56" s="34" t="n">
        <x:f>'直接配方'!$F$46*R15+'直接配方'!$F$47*R55+'直接配方'!$F$48*R32</x:f>
        <x:v>0</x:v>
      </x:c>
      <x:c r="S56" s="34" t="n">
        <x:f>'直接配方'!$F$46*S15+'直接配方'!$F$47*S55+'直接配方'!$F$48*S32</x:f>
        <x:v>0</x:v>
      </x:c>
      <x:c r="T56" s="34" t="n">
        <x:f>'直接配方'!$F$46*T15+'直接配方'!$F$47*T55+'直接配方'!$F$48*T32</x:f>
        <x:v>0</x:v>
      </x:c>
      <x:c r="U56" s="34" t="n">
        <x:f>'直接配方'!$F$46*U15+'直接配方'!$F$47*U55+'直接配方'!$F$48*U32</x:f>
        <x:v>0</x:v>
      </x:c>
      <x:c r="V56" s="34" t="n">
        <x:f>'直接配方'!$F$46*V15+'直接配方'!$F$47*V55+'直接配方'!$F$48*V32</x:f>
        <x:v>0</x:v>
      </x:c>
      <x:c r="W56" s="34" t="n">
        <x:f>'直接配方'!$F$46*W15+'直接配方'!$F$47*W55+'直接配方'!$F$48*W32</x:f>
        <x:v>0</x:v>
      </x:c>
      <x:c r="X56" s="34" t="n">
        <x:f>'直接配方'!$F$46*X15+'直接配方'!$F$47*X55+'直接配方'!$F$48*X32</x:f>
        <x:v>0</x:v>
      </x:c>
      <x:c r="Y56" s="34" t="n">
        <x:f>'直接配方'!$F$46*Y15+'直接配方'!$F$47*Y55+'直接配方'!$F$48*Y32</x:f>
        <x:v>0</x:v>
      </x:c>
      <x:c r="Z56" s="34" t="n">
        <x:f>'直接配方'!$F$46*Z15+'直接配方'!$F$47*Z55+'直接配方'!$F$48*Z32</x:f>
        <x:v>0</x:v>
      </x:c>
      <x:c r="AA56" s="34" t="n">
        <x:f>'直接配方'!$F$46*AA15+'直接配方'!$F$47*AA55+'直接配方'!$F$48*AA32</x:f>
        <x:v>0</x:v>
      </x:c>
      <x:c r="AB56" s="34" t="n">
        <x:f>'直接配方'!$F$46*AB15+'直接配方'!$F$47*AB55+'直接配方'!$F$48*AB32</x:f>
        <x:v>0</x:v>
      </x:c>
      <x:c r="AC56" s="34" t="n">
        <x:f>'直接配方'!$F$46*AC15+'直接配方'!$F$47*AC55+'直接配方'!$F$48*AC32</x:f>
        <x:v>0</x:v>
      </x:c>
    </x:row>
    <x:row r="57" ht="40" customHeight="1">
      <x:c r="A57" s="22" t="str">
        <x:v>M_KOH</x:v>
      </x:c>
      <x:c r="B57" s="22" t="str">
        <x:v>氢氧化钾</x:v>
      </x:c>
      <x:c r="C57" s="22" t="str">
        <x:v>kg</x:v>
      </x:c>
      <x:c r="D57" s="34" t="n">
        <x:f>'直接配方'!$F$49*D16+'直接配方'!$F$50*D32</x:f>
        <x:v>0.32109437661527496</x:v>
      </x:c>
      <x:c r="E57" s="34" t="n">
        <x:f>'直接配方'!$F$49*E16+'直接配方'!$F$50*E32</x:f>
        <x:v>0</x:v>
      </x:c>
      <x:c r="F57" s="34" t="n">
        <x:f>'直接配方'!$F$49*F16+'直接配方'!$F$50*F32</x:f>
        <x:v>0</x:v>
      </x:c>
      <x:c r="G57" s="34" t="n">
        <x:f>'直接配方'!$F$49*G16+'直接配方'!$F$50*G32</x:f>
        <x:v>0</x:v>
      </x:c>
      <x:c r="H57" s="34" t="n">
        <x:f>'直接配方'!$F$49*H16+'直接配方'!$F$50*H32</x:f>
        <x:v>0</x:v>
      </x:c>
      <x:c r="I57" s="34" t="n">
        <x:f>'直接配方'!$F$49*I16+'直接配方'!$F$50*I32</x:f>
        <x:v>0</x:v>
      </x:c>
      <x:c r="J57" s="34" t="n">
        <x:f>'直接配方'!$F$49*J16+'直接配方'!$F$50*J32</x:f>
        <x:v>0</x:v>
      </x:c>
      <x:c r="K57" s="34" t="n">
        <x:f>'直接配方'!$F$49*K16+'直接配方'!$F$50*K32</x:f>
        <x:v>0</x:v>
      </x:c>
      <x:c r="L57" s="34" t="n">
        <x:f>'直接配方'!$F$49*L16+'直接配方'!$F$50*L32</x:f>
        <x:v>0</x:v>
      </x:c>
      <x:c r="M57" s="34" t="n">
        <x:f>'直接配方'!$F$49*M16+'直接配方'!$F$50*M32</x:f>
        <x:v>0</x:v>
      </x:c>
      <x:c r="N57" s="34" t="n">
        <x:f>'直接配方'!$F$49*N16+'直接配方'!$F$50*N32</x:f>
        <x:v>1.328722930220123</x:v>
      </x:c>
      <x:c r="O57" s="34" t="n">
        <x:f>'直接配方'!$F$49*O16+'直接配方'!$F$50*O32</x:f>
        <x:v>0</x:v>
      </x:c>
      <x:c r="P57" s="34" t="n">
        <x:f>'直接配方'!$F$49*P16+'直接配方'!$F$50*P32</x:f>
        <x:v>0</x:v>
      </x:c>
      <x:c r="Q57" s="34" t="n">
        <x:f>'直接配方'!$F$49*Q16+'直接配方'!$F$50*Q32</x:f>
        <x:v>0</x:v>
      </x:c>
      <x:c r="R57" s="34" t="n">
        <x:f>'直接配方'!$F$49*R16+'直接配方'!$F$50*R32</x:f>
        <x:v>0</x:v>
      </x:c>
      <x:c r="S57" s="34" t="n">
        <x:f>'直接配方'!$F$49*S16+'直接配方'!$F$50*S32</x:f>
        <x:v>0</x:v>
      </x:c>
      <x:c r="T57" s="34" t="n">
        <x:f>'直接配方'!$F$49*T16+'直接配方'!$F$50*T32</x:f>
        <x:v>0</x:v>
      </x:c>
      <x:c r="U57" s="34" t="n">
        <x:f>'直接配方'!$F$49*U16+'直接配方'!$F$50*U32</x:f>
        <x:v>0</x:v>
      </x:c>
      <x:c r="V57" s="34" t="n">
        <x:f>'直接配方'!$F$49*V16+'直接配方'!$F$50*V32</x:f>
        <x:v>0</x:v>
      </x:c>
      <x:c r="W57" s="34" t="n">
        <x:f>'直接配方'!$F$49*W16+'直接配方'!$F$50*W32</x:f>
        <x:v>0</x:v>
      </x:c>
      <x:c r="X57" s="34" t="n">
        <x:f>'直接配方'!$F$49*X16+'直接配方'!$F$50*X32</x:f>
        <x:v>0</x:v>
      </x:c>
      <x:c r="Y57" s="34" t="n">
        <x:f>'直接配方'!$F$49*Y16+'直接配方'!$F$50*Y32</x:f>
        <x:v>0</x:v>
      </x:c>
      <x:c r="Z57" s="34" t="n">
        <x:f>'直接配方'!$F$49*Z16+'直接配方'!$F$50*Z32</x:f>
        <x:v>0</x:v>
      </x:c>
      <x:c r="AA57" s="34" t="n">
        <x:f>'直接配方'!$F$49*AA16+'直接配方'!$F$50*AA32</x:f>
        <x:v>0</x:v>
      </x:c>
      <x:c r="AB57" s="34" t="n">
        <x:f>'直接配方'!$F$49*AB16+'直接配方'!$F$50*AB32</x:f>
        <x:v>0</x:v>
      </x:c>
      <x:c r="AC57" s="34" t="n">
        <x:f>'直接配方'!$F$49*AC16+'直接配方'!$F$50*AC32</x:f>
        <x:v>0</x:v>
      </x:c>
    </x:row>
    <x:row r="58" ht="40" customHeight="1">
      <x:c r="A58" s="22" t="str">
        <x:v>M_NIOH</x:v>
      </x:c>
      <x:c r="B58" s="22" t="str">
        <x:v>氢氧化镍活性物质</x:v>
      </x:c>
      <x:c r="C58" s="22" t="str">
        <x:v>kg</x:v>
      </x:c>
      <x:c r="D58" s="34" t="n">
        <x:f>'直接配方'!$F$51*D20+'直接配方'!$F$52*D32</x:f>
        <x:v>0.19432189586546864</x:v>
      </x:c>
      <x:c r="E58" s="34" t="n">
        <x:f>'直接配方'!$F$51*E20+'直接配方'!$F$52*E32</x:f>
        <x:v>0</x:v>
      </x:c>
      <x:c r="F58" s="34" t="n">
        <x:f>'直接配方'!$F$51*F20+'直接配方'!$F$52*F32</x:f>
        <x:v>0</x:v>
      </x:c>
      <x:c r="G58" s="34" t="n">
        <x:f>'直接配方'!$F$51*G20+'直接配方'!$F$52*G32</x:f>
        <x:v>0</x:v>
      </x:c>
      <x:c r="H58" s="34" t="n">
        <x:f>'直接配方'!$F$51*H20+'直接配方'!$F$52*H32</x:f>
        <x:v>0</x:v>
      </x:c>
      <x:c r="I58" s="34" t="n">
        <x:f>'直接配方'!$F$51*I20+'直接配方'!$F$52*I32</x:f>
        <x:v>0</x:v>
      </x:c>
      <x:c r="J58" s="34" t="n">
        <x:f>'直接配方'!$F$51*J20+'直接配方'!$F$52*J32</x:f>
        <x:v>0</x:v>
      </x:c>
      <x:c r="K58" s="34" t="n">
        <x:f>'直接配方'!$F$51*K20+'直接配方'!$F$52*K32</x:f>
        <x:v>0</x:v>
      </x:c>
      <x:c r="L58" s="34" t="n">
        <x:f>'直接配方'!$F$51*L20+'直接配方'!$F$52*L32</x:f>
        <x:v>0</x:v>
      </x:c>
      <x:c r="M58" s="34" t="n">
        <x:f>'直接配方'!$F$51*M20+'直接配方'!$F$52*M32</x:f>
        <x:v>0</x:v>
      </x:c>
      <x:c r="N58" s="34" t="n">
        <x:f>'直接配方'!$F$51*N20+'直接配方'!$F$52*N32</x:f>
        <x:v>0</x:v>
      </x:c>
      <x:c r="O58" s="34" t="n">
        <x:f>'直接配方'!$F$51*O20+'直接配方'!$F$52*O32</x:f>
        <x:v>0</x:v>
      </x:c>
      <x:c r="P58" s="34" t="n">
        <x:f>'直接配方'!$F$51*P20+'直接配方'!$F$52*P32</x:f>
        <x:v>0</x:v>
      </x:c>
      <x:c r="Q58" s="34" t="n">
        <x:f>'直接配方'!$F$51*Q20+'直接配方'!$F$52*Q32</x:f>
        <x:v>0</x:v>
      </x:c>
      <x:c r="R58" s="34" t="n">
        <x:f>'直接配方'!$F$51*R20+'直接配方'!$F$52*R32</x:f>
        <x:v>0.8056781041345313</x:v>
      </x:c>
      <x:c r="S58" s="34" t="n">
        <x:f>'直接配方'!$F$51*S20+'直接配方'!$F$52*S32</x:f>
        <x:v>0</x:v>
      </x:c>
      <x:c r="T58" s="34" t="n">
        <x:f>'直接配方'!$F$51*T20+'直接配方'!$F$52*T32</x:f>
        <x:v>0</x:v>
      </x:c>
      <x:c r="U58" s="34" t="n">
        <x:f>'直接配方'!$F$51*U20+'直接配方'!$F$52*U32</x:f>
        <x:v>0</x:v>
      </x:c>
      <x:c r="V58" s="34" t="n">
        <x:f>'直接配方'!$F$51*V20+'直接配方'!$F$52*V32</x:f>
        <x:v>0</x:v>
      </x:c>
      <x:c r="W58" s="34" t="n">
        <x:f>'直接配方'!$F$51*W20+'直接配方'!$F$52*W32</x:f>
        <x:v>0</x:v>
      </x:c>
      <x:c r="X58" s="34" t="n">
        <x:f>'直接配方'!$F$51*X20+'直接配方'!$F$52*X32</x:f>
        <x:v>0</x:v>
      </x:c>
      <x:c r="Y58" s="34" t="n">
        <x:f>'直接配方'!$F$51*Y20+'直接配方'!$F$52*Y32</x:f>
        <x:v>0</x:v>
      </x:c>
      <x:c r="Z58" s="34" t="n">
        <x:f>'直接配方'!$F$51*Z20+'直接配方'!$F$52*Z32</x:f>
        <x:v>0</x:v>
      </x:c>
      <x:c r="AA58" s="34" t="n">
        <x:f>'直接配方'!$F$51*AA20+'直接配方'!$F$52*AA32</x:f>
        <x:v>0</x:v>
      </x:c>
      <x:c r="AB58" s="34" t="n">
        <x:f>'直接配方'!$F$51*AB20+'直接配方'!$F$52*AB32</x:f>
        <x:v>0</x:v>
      </x:c>
      <x:c r="AC58" s="34" t="n">
        <x:f>'直接配方'!$F$51*AC20+'直接配方'!$F$52*AC32</x:f>
        <x:v>0</x:v>
      </x:c>
    </x:row>
    <x:row r="59" ht="40" customHeight="1">
      <x:c r="A59" s="22" t="str">
        <x:v>I01</x:v>
      </x:c>
      <x:c r="B59" s="22" t="str">
        <x:v>烧结砖/铺面块</x:v>
      </x:c>
      <x:c r="C59" s="22" t="str">
        <x:v>kg</x:v>
      </x:c>
      <x:c r="D59" s="34" t="n">
        <x:f>'直接配方'!$F$53*D10</x:f>
        <x:v>0</x:v>
      </x:c>
      <x:c r="E59" s="34" t="n">
        <x:f>'直接配方'!$F$53*E10</x:f>
        <x:v>0</x:v>
      </x:c>
      <x:c r="F59" s="34" t="n">
        <x:f>'直接配方'!$F$53*F10</x:f>
        <x:v>0</x:v>
      </x:c>
      <x:c r="G59" s="34" t="n">
        <x:f>'直接配方'!$F$53*G10</x:f>
        <x:v>0</x:v>
      </x:c>
      <x:c r="H59" s="34" t="n">
        <x:f>'直接配方'!$F$53*H10</x:f>
        <x:v>1.0526315789473684</x:v>
      </x:c>
      <x:c r="I59" s="34" t="n">
        <x:f>'直接配方'!$F$53*I10</x:f>
        <x:v>0</x:v>
      </x:c>
      <x:c r="J59" s="34" t="n">
        <x:f>'直接配方'!$F$53*J10</x:f>
        <x:v>0</x:v>
      </x:c>
      <x:c r="K59" s="34" t="n">
        <x:f>'直接配方'!$F$53*K10</x:f>
        <x:v>0</x:v>
      </x:c>
      <x:c r="L59" s="34" t="n">
        <x:f>'直接配方'!$F$53*L10</x:f>
        <x:v>0</x:v>
      </x:c>
      <x:c r="M59" s="34" t="n">
        <x:f>'直接配方'!$F$53*M10</x:f>
        <x:v>0</x:v>
      </x:c>
      <x:c r="N59" s="34" t="n">
        <x:f>'直接配方'!$F$53*N10</x:f>
        <x:v>0</x:v>
      </x:c>
      <x:c r="O59" s="34" t="n">
        <x:f>'直接配方'!$F$53*O10</x:f>
        <x:v>0</x:v>
      </x:c>
      <x:c r="P59" s="34" t="n">
        <x:f>'直接配方'!$F$53*P10</x:f>
        <x:v>0</x:v>
      </x:c>
      <x:c r="Q59" s="34" t="n">
        <x:f>'直接配方'!$F$53*Q10</x:f>
        <x:v>0</x:v>
      </x:c>
      <x:c r="R59" s="34" t="n">
        <x:f>'直接配方'!$F$53*R10</x:f>
        <x:v>0</x:v>
      </x:c>
      <x:c r="S59" s="34" t="n">
        <x:f>'直接配方'!$F$53*S10</x:f>
        <x:v>0</x:v>
      </x:c>
      <x:c r="T59" s="34" t="n">
        <x:f>'直接配方'!$F$53*T10</x:f>
        <x:v>0</x:v>
      </x:c>
      <x:c r="U59" s="34" t="n">
        <x:f>'直接配方'!$F$53*U10</x:f>
        <x:v>0</x:v>
      </x:c>
      <x:c r="V59" s="34" t="n">
        <x:f>'直接配方'!$F$53*V10</x:f>
        <x:v>0</x:v>
      </x:c>
      <x:c r="W59" s="34" t="n">
        <x:f>'直接配方'!$F$53*W10</x:f>
        <x:v>0</x:v>
      </x:c>
      <x:c r="X59" s="34" t="n">
        <x:f>'直接配方'!$F$53*X10</x:f>
        <x:v>0</x:v>
      </x:c>
      <x:c r="Y59" s="34" t="n">
        <x:f>'直接配方'!$F$53*Y10</x:f>
        <x:v>0</x:v>
      </x:c>
      <x:c r="Z59" s="34" t="n">
        <x:f>'直接配方'!$F$53*Z10</x:f>
        <x:v>0</x:v>
      </x:c>
      <x:c r="AA59" s="34" t="n">
        <x:f>'直接配方'!$F$53*AA10</x:f>
        <x:v>0</x:v>
      </x:c>
      <x:c r="AB59" s="34" t="n">
        <x:f>'直接配方'!$F$53*AB10</x:f>
        <x:v>0</x:v>
      </x:c>
      <x:c r="AC59" s="34" t="n">
        <x:f>'直接配方'!$F$53*AC10</x:f>
        <x:v>0</x:v>
      </x:c>
    </x:row>
    <x:row r="60" ht="40" customHeight="1">
      <x:c r="A60" s="22" t="str">
        <x:v>I02</x:v>
      </x:c>
      <x:c r="B60" s="22" t="str">
        <x:v>陶瓷管/耐火件</x:v>
      </x:c>
      <x:c r="C60" s="22" t="str">
        <x:v>kg</x:v>
      </x:c>
      <x:c r="D60" s="34" t="n">
        <x:f>'直接配方'!$F$54*D49</x:f>
        <x:v>0</x:v>
      </x:c>
      <x:c r="E60" s="34" t="n">
        <x:f>'直接配方'!$F$54*E49</x:f>
        <x:v>0</x:v>
      </x:c>
      <x:c r="F60" s="34" t="n">
        <x:f>'直接配方'!$F$54*F49</x:f>
        <x:v>0</x:v>
      </x:c>
      <x:c r="G60" s="34" t="n">
        <x:f>'直接配方'!$F$54*G49</x:f>
        <x:v>0</x:v>
      </x:c>
      <x:c r="H60" s="34" t="n">
        <x:f>'直接配方'!$F$54*H49</x:f>
        <x:v>1.1111111111111112</x:v>
      </x:c>
      <x:c r="I60" s="34" t="n">
        <x:f>'直接配方'!$F$54*I49</x:f>
        <x:v>0</x:v>
      </x:c>
      <x:c r="J60" s="34" t="n">
        <x:f>'直接配方'!$F$54*J49</x:f>
        <x:v>0</x:v>
      </x:c>
      <x:c r="K60" s="34" t="n">
        <x:f>'直接配方'!$F$54*K49</x:f>
        <x:v>0</x:v>
      </x:c>
      <x:c r="L60" s="34" t="n">
        <x:f>'直接配方'!$F$54*L49</x:f>
        <x:v>0</x:v>
      </x:c>
      <x:c r="M60" s="34" t="n">
        <x:f>'直接配方'!$F$54*M49</x:f>
        <x:v>0</x:v>
      </x:c>
      <x:c r="N60" s="34" t="n">
        <x:f>'直接配方'!$F$54*N49</x:f>
        <x:v>0</x:v>
      </x:c>
      <x:c r="O60" s="34" t="n">
        <x:f>'直接配方'!$F$54*O49</x:f>
        <x:v>0</x:v>
      </x:c>
      <x:c r="P60" s="34" t="n">
        <x:f>'直接配方'!$F$54*P49</x:f>
        <x:v>0</x:v>
      </x:c>
      <x:c r="Q60" s="34" t="n">
        <x:f>'直接配方'!$F$54*Q49</x:f>
        <x:v>0</x:v>
      </x:c>
      <x:c r="R60" s="34" t="n">
        <x:f>'直接配方'!$F$54*R49</x:f>
        <x:v>0</x:v>
      </x:c>
      <x:c r="S60" s="34" t="n">
        <x:f>'直接配方'!$F$54*S49</x:f>
        <x:v>0</x:v>
      </x:c>
      <x:c r="T60" s="34" t="n">
        <x:f>'直接配方'!$F$54*T49</x:f>
        <x:v>0</x:v>
      </x:c>
      <x:c r="U60" s="34" t="n">
        <x:f>'直接配方'!$F$54*U49</x:f>
        <x:v>0</x:v>
      </x:c>
      <x:c r="V60" s="34" t="n">
        <x:f>'直接配方'!$F$54*V49</x:f>
        <x:v>0</x:v>
      </x:c>
      <x:c r="W60" s="34" t="n">
        <x:f>'直接配方'!$F$54*W49</x:f>
        <x:v>0</x:v>
      </x:c>
      <x:c r="X60" s="34" t="n">
        <x:f>'直接配方'!$F$54*X49</x:f>
        <x:v>0</x:v>
      </x:c>
      <x:c r="Y60" s="34" t="n">
        <x:f>'直接配方'!$F$54*Y49</x:f>
        <x:v>0</x:v>
      </x:c>
      <x:c r="Z60" s="34" t="n">
        <x:f>'直接配方'!$F$54*Z49</x:f>
        <x:v>0</x:v>
      </x:c>
      <x:c r="AA60" s="34" t="n">
        <x:f>'直接配方'!$F$54*AA49</x:f>
        <x:v>0</x:v>
      </x:c>
      <x:c r="AB60" s="34" t="n">
        <x:f>'直接配方'!$F$54*AB49</x:f>
        <x:v>0</x:v>
      </x:c>
      <x:c r="AC60" s="34" t="n">
        <x:f>'直接配方'!$F$54*AC49</x:f>
        <x:v>0</x:v>
      </x:c>
    </x:row>
    <x:row r="61" ht="40" customHeight="1">
      <x:c r="A61" s="22" t="str">
        <x:v>I03</x:v>
      </x:c>
      <x:c r="B61" s="22" t="str">
        <x:v>岩棉/玄武岩纤维</x:v>
      </x:c>
      <x:c r="C61" s="22" t="str">
        <x:v>kg</x:v>
      </x:c>
      <x:c r="D61" s="34" t="n">
        <x:f>'直接配方'!$F$55*D50</x:f>
        <x:v>0</x:v>
      </x:c>
      <x:c r="E61" s="34" t="n">
        <x:f>'直接配方'!$F$55*E50</x:f>
        <x:v>0</x:v>
      </x:c>
      <x:c r="F61" s="34" t="n">
        <x:f>'直接配方'!$F$55*F50</x:f>
        <x:v>0</x:v>
      </x:c>
      <x:c r="G61" s="34" t="n">
        <x:f>'直接配方'!$F$55*G50</x:f>
        <x:v>0</x:v>
      </x:c>
      <x:c r="H61" s="34" t="n">
        <x:f>'直接配方'!$F$55*H50</x:f>
        <x:v>1.1111111111111112</x:v>
      </x:c>
      <x:c r="I61" s="34" t="n">
        <x:f>'直接配方'!$F$55*I50</x:f>
        <x:v>0</x:v>
      </x:c>
      <x:c r="J61" s="34" t="n">
        <x:f>'直接配方'!$F$55*J50</x:f>
        <x:v>0</x:v>
      </x:c>
      <x:c r="K61" s="34" t="n">
        <x:f>'直接配方'!$F$55*K50</x:f>
        <x:v>0</x:v>
      </x:c>
      <x:c r="L61" s="34" t="n">
        <x:f>'直接配方'!$F$55*L50</x:f>
        <x:v>0</x:v>
      </x:c>
      <x:c r="M61" s="34" t="n">
        <x:f>'直接配方'!$F$55*M50</x:f>
        <x:v>0</x:v>
      </x:c>
      <x:c r="N61" s="34" t="n">
        <x:f>'直接配方'!$F$55*N50</x:f>
        <x:v>0</x:v>
      </x:c>
      <x:c r="O61" s="34" t="n">
        <x:f>'直接配方'!$F$55*O50</x:f>
        <x:v>0</x:v>
      </x:c>
      <x:c r="P61" s="34" t="n">
        <x:f>'直接配方'!$F$55*P50</x:f>
        <x:v>0</x:v>
      </x:c>
      <x:c r="Q61" s="34" t="n">
        <x:f>'直接配方'!$F$55*Q50</x:f>
        <x:v>0</x:v>
      </x:c>
      <x:c r="R61" s="34" t="n">
        <x:f>'直接配方'!$F$55*R50</x:f>
        <x:v>0</x:v>
      </x:c>
      <x:c r="S61" s="34" t="n">
        <x:f>'直接配方'!$F$55*S50</x:f>
        <x:v>0</x:v>
      </x:c>
      <x:c r="T61" s="34" t="n">
        <x:f>'直接配方'!$F$55*T50</x:f>
        <x:v>0</x:v>
      </x:c>
      <x:c r="U61" s="34" t="n">
        <x:f>'直接配方'!$F$55*U50</x:f>
        <x:v>0</x:v>
      </x:c>
      <x:c r="V61" s="34" t="n">
        <x:f>'直接配方'!$F$55*V50</x:f>
        <x:v>0</x:v>
      </x:c>
      <x:c r="W61" s="34" t="n">
        <x:f>'直接配方'!$F$55*W50</x:f>
        <x:v>0</x:v>
      </x:c>
      <x:c r="X61" s="34" t="n">
        <x:f>'直接配方'!$F$55*X50</x:f>
        <x:v>0</x:v>
      </x:c>
      <x:c r="Y61" s="34" t="n">
        <x:f>'直接配方'!$F$55*Y50</x:f>
        <x:v>0</x:v>
      </x:c>
      <x:c r="Z61" s="34" t="n">
        <x:f>'直接配方'!$F$55*Z50</x:f>
        <x:v>0</x:v>
      </x:c>
      <x:c r="AA61" s="34" t="n">
        <x:f>'直接配方'!$F$55*AA50</x:f>
        <x:v>0</x:v>
      </x:c>
      <x:c r="AB61" s="34" t="n">
        <x:f>'直接配方'!$F$55*AB50</x:f>
        <x:v>0</x:v>
      </x:c>
      <x:c r="AC61" s="34" t="n">
        <x:f>'直接配方'!$F$55*AC50</x:f>
        <x:v>0</x:v>
      </x:c>
    </x:row>
    <x:row r="62" ht="40" customHeight="1">
      <x:c r="A62" s="22" t="str">
        <x:v>I04</x:v>
      </x:c>
      <x:c r="B62" s="22" t="str">
        <x:v>透明硅玻璃板</x:v>
      </x:c>
      <x:c r="C62" s="22" t="str">
        <x:v>m²（厚5mm）</x:v>
      </x:c>
      <x:c r="D62" s="34" t="n">
        <x:f>'直接配方'!$F$56*D48</x:f>
        <x:v>0</x:v>
      </x:c>
      <x:c r="E62" s="34" t="n">
        <x:f>'直接配方'!$F$56*E48</x:f>
        <x:v>0</x:v>
      </x:c>
      <x:c r="F62" s="34" t="n">
        <x:f>'直接配方'!$F$56*F48</x:f>
        <x:v>0</x:v>
      </x:c>
      <x:c r="G62" s="34" t="n">
        <x:f>'直接配方'!$F$56*G48</x:f>
        <x:v>0</x:v>
      </x:c>
      <x:c r="H62" s="34" t="n">
        <x:f>'直接配方'!$F$56*H48</x:f>
        <x:v>0</x:v>
      </x:c>
      <x:c r="I62" s="34" t="n">
        <x:f>'直接配方'!$F$56*I48</x:f>
        <x:v>11.578947368421051</x:v>
      </x:c>
      <x:c r="J62" s="34" t="n">
        <x:f>'直接配方'!$F$56*J48</x:f>
        <x:v>0</x:v>
      </x:c>
      <x:c r="K62" s="34" t="n">
        <x:f>'直接配方'!$F$56*K48</x:f>
        <x:v>0</x:v>
      </x:c>
      <x:c r="L62" s="34" t="n">
        <x:f>'直接配方'!$F$56*L48</x:f>
        <x:v>0</x:v>
      </x:c>
      <x:c r="M62" s="34" t="n">
        <x:f>'直接配方'!$F$56*M48</x:f>
        <x:v>0</x:v>
      </x:c>
      <x:c r="N62" s="34" t="n">
        <x:f>'直接配方'!$F$56*N48</x:f>
        <x:v>0</x:v>
      </x:c>
      <x:c r="O62" s="34" t="n">
        <x:f>'直接配方'!$F$56*O48</x:f>
        <x:v>0</x:v>
      </x:c>
      <x:c r="P62" s="34" t="n">
        <x:f>'直接配方'!$F$56*P48</x:f>
        <x:v>0</x:v>
      </x:c>
      <x:c r="Q62" s="34" t="n">
        <x:f>'直接配方'!$F$56*Q48</x:f>
        <x:v>0</x:v>
      </x:c>
      <x:c r="R62" s="34" t="n">
        <x:f>'直接配方'!$F$56*R48</x:f>
        <x:v>0</x:v>
      </x:c>
      <x:c r="S62" s="34" t="n">
        <x:f>'直接配方'!$F$56*S48</x:f>
        <x:v>0</x:v>
      </x:c>
      <x:c r="T62" s="34" t="n">
        <x:f>'直接配方'!$F$56*T48</x:f>
        <x:v>0</x:v>
      </x:c>
      <x:c r="U62" s="34" t="n">
        <x:f>'直接配方'!$F$56*U48</x:f>
        <x:v>0</x:v>
      </x:c>
      <x:c r="V62" s="34" t="n">
        <x:f>'直接配方'!$F$56*V48</x:f>
        <x:v>0</x:v>
      </x:c>
      <x:c r="W62" s="34" t="n">
        <x:f>'直接配方'!$F$56*W48</x:f>
        <x:v>0</x:v>
      </x:c>
      <x:c r="X62" s="34" t="n">
        <x:f>'直接配方'!$F$56*X48</x:f>
        <x:v>0</x:v>
      </x:c>
      <x:c r="Y62" s="34" t="n">
        <x:f>'直接配方'!$F$56*Y48</x:f>
        <x:v>0</x:v>
      </x:c>
      <x:c r="Z62" s="34" t="n">
        <x:f>'直接配方'!$F$56*Z48</x:f>
        <x:v>0</x:v>
      </x:c>
      <x:c r="AA62" s="34" t="n">
        <x:f>'直接配方'!$F$56*AA48</x:f>
        <x:v>0</x:v>
      </x:c>
      <x:c r="AB62" s="34" t="n">
        <x:f>'直接配方'!$F$56*AB48</x:f>
        <x:v>0</x:v>
      </x:c>
      <x:c r="AC62" s="34" t="n">
        <x:f>'直接配方'!$F$56*AC48</x:f>
        <x:v>0</x:v>
      </x:c>
    </x:row>
    <x:row r="63" ht="40" customHeight="1">
      <x:c r="A63" s="22" t="str">
        <x:v>I05</x:v>
      </x:c>
      <x:c r="B63" s="22" t="str">
        <x:v>低碳钢零件</x:v>
      </x:c>
      <x:c r="C63" s="22" t="str">
        <x:v>kg</x:v>
      </x:c>
      <x:c r="D63" s="34" t="n">
        <x:f>'直接配方'!$F$57*D37</x:f>
        <x:v>0.4889156970735462</x:v>
      </x:c>
      <x:c r="E63" s="34" t="n">
        <x:f>'直接配方'!$F$57*E37</x:f>
        <x:v>0.00732811589376405</x:v>
      </x:c>
      <x:c r="F63" s="34" t="n">
        <x:f>'直接配方'!$F$57*F37</x:f>
        <x:v>0</x:v>
      </x:c>
      <x:c r="G63" s="34" t="n">
        <x:f>'直接配方'!$F$57*G37</x:f>
        <x:v>0</x:v>
      </x:c>
      <x:c r="H63" s="34" t="n">
        <x:f>'直接配方'!$F$57*H37</x:f>
        <x:v>0</x:v>
      </x:c>
      <x:c r="I63" s="34" t="n">
        <x:f>'直接配方'!$F$57*I37</x:f>
        <x:v>0</x:v>
      </x:c>
      <x:c r="J63" s="34" t="n">
        <x:f>'直接配方'!$F$57*J37</x:f>
        <x:v>1.426874617244158</x:v>
      </x:c>
      <x:c r="K63" s="34" t="n">
        <x:f>'直接配方'!$F$57*K37</x:f>
        <x:v>0</x:v>
      </x:c>
      <x:c r="L63" s="34" t="n">
        <x:f>'直接配方'!$F$57*L37</x:f>
        <x:v>0</x:v>
      </x:c>
      <x:c r="M63" s="34" t="n">
        <x:f>'直接配方'!$F$57*M37</x:f>
        <x:v>0</x:v>
      </x:c>
      <x:c r="N63" s="34" t="n">
        <x:f>'直接配方'!$F$57*N37</x:f>
        <x:v>0</x:v>
      </x:c>
      <x:c r="O63" s="34" t="n">
        <x:f>'直接配方'!$F$57*O37</x:f>
        <x:v>0</x:v>
      </x:c>
      <x:c r="P63" s="34" t="n">
        <x:f>'直接配方'!$F$57*P37</x:f>
        <x:v>0</x:v>
      </x:c>
      <x:c r="Q63" s="34" t="n">
        <x:f>'直接配方'!$F$57*Q37</x:f>
        <x:v>0</x:v>
      </x:c>
      <x:c r="R63" s="34" t="n">
        <x:f>'直接配方'!$F$57*R37</x:f>
        <x:v>0</x:v>
      </x:c>
      <x:c r="S63" s="34" t="n">
        <x:f>'直接配方'!$F$57*S37</x:f>
        <x:v>0</x:v>
      </x:c>
      <x:c r="T63" s="34" t="n">
        <x:f>'直接配方'!$F$57*T37</x:f>
        <x:v>0</x:v>
      </x:c>
      <x:c r="U63" s="34" t="n">
        <x:f>'直接配方'!$F$57*U37</x:f>
        <x:v>0</x:v>
      </x:c>
      <x:c r="V63" s="34" t="n">
        <x:f>'直接配方'!$F$57*V37</x:f>
        <x:v>0</x:v>
      </x:c>
      <x:c r="W63" s="34" t="n">
        <x:f>'直接配方'!$F$57*W37</x:f>
        <x:v>0</x:v>
      </x:c>
      <x:c r="X63" s="34" t="n">
        <x:f>'直接配方'!$F$57*X37</x:f>
        <x:v>0</x:v>
      </x:c>
      <x:c r="Y63" s="34" t="n">
        <x:f>'直接配方'!$F$57*Y37</x:f>
        <x:v>0</x:v>
      </x:c>
      <x:c r="Z63" s="34" t="n">
        <x:f>'直接配方'!$F$57*Z37</x:f>
        <x:v>0</x:v>
      </x:c>
      <x:c r="AA63" s="34" t="n">
        <x:f>'直接配方'!$F$57*AA37</x:f>
        <x:v>0</x:v>
      </x:c>
      <x:c r="AB63" s="34" t="n">
        <x:f>'直接配方'!$F$57*AB37</x:f>
        <x:v>0</x:v>
      </x:c>
      <x:c r="AC63" s="34" t="n">
        <x:f>'直接配方'!$F$57*AC37</x:f>
        <x:v>0</x:v>
      </x:c>
    </x:row>
    <x:row r="64" ht="40" customHeight="1">
      <x:c r="A64" s="22" t="str">
        <x:v>I06</x:v>
      </x:c>
      <x:c r="B64" s="22" t="str">
        <x:v>裸铜导线</x:v>
      </x:c>
      <x:c r="C64" s="22" t="str">
        <x:v>kg</x:v>
      </x:c>
      <x:c r="D64" s="34" t="n">
        <x:f>'直接配方'!$F$58*D38</x:f>
        <x:v>0.2834954206401662</x:v>
      </x:c>
      <x:c r="E64" s="34" t="n">
        <x:f>'直接配方'!$F$58*E38</x:f>
        <x:v>0</x:v>
      </x:c>
      <x:c r="F64" s="34" t="n">
        <x:f>'直接配方'!$F$58*F38</x:f>
        <x:v>0</x:v>
      </x:c>
      <x:c r="G64" s="34" t="n">
        <x:f>'直接配方'!$F$58*G38</x:f>
        <x:v>0</x:v>
      </x:c>
      <x:c r="H64" s="34" t="n">
        <x:f>'直接配方'!$F$58*H38</x:f>
        <x:v>0</x:v>
      </x:c>
      <x:c r="I64" s="34" t="n">
        <x:f>'直接配方'!$F$58*I38</x:f>
        <x:v>0</x:v>
      </x:c>
      <x:c r="J64" s="34" t="n">
        <x:f>'直接配方'!$F$58*J38</x:f>
        <x:v>0</x:v>
      </x:c>
      <x:c r="K64" s="34" t="n">
        <x:f>'直接配方'!$F$58*K38</x:f>
        <x:v>0</x:v>
      </x:c>
      <x:c r="L64" s="34" t="n">
        <x:f>'直接配方'!$F$58*L38</x:f>
        <x:v>0</x:v>
      </x:c>
      <x:c r="M64" s="34" t="n">
        <x:f>'直接配方'!$F$58*M38</x:f>
        <x:v>0</x:v>
      </x:c>
      <x:c r="N64" s="34" t="n">
        <x:f>'直接配方'!$F$58*N38</x:f>
        <x:v>0</x:v>
      </x:c>
      <x:c r="O64" s="34" t="n">
        <x:f>'直接配方'!$F$58*O38</x:f>
        <x:v>0</x:v>
      </x:c>
      <x:c r="P64" s="34" t="n">
        <x:f>'直接配方'!$F$58*P38</x:f>
        <x:v>0</x:v>
      </x:c>
      <x:c r="Q64" s="34" t="n">
        <x:f>'直接配方'!$F$58*Q38</x:f>
        <x:v>1.2517703710697763</x:v>
      </x:c>
      <x:c r="R64" s="34" t="n">
        <x:f>'直接配方'!$F$58*R38</x:f>
        <x:v>0</x:v>
      </x:c>
      <x:c r="S64" s="34" t="n">
        <x:f>'直接配方'!$F$58*S38</x:f>
        <x:v>0</x:v>
      </x:c>
      <x:c r="T64" s="34" t="n">
        <x:f>'直接配方'!$F$58*T38</x:f>
        <x:v>0</x:v>
      </x:c>
      <x:c r="U64" s="34" t="n">
        <x:f>'直接配方'!$F$58*U38</x:f>
        <x:v>0</x:v>
      </x:c>
      <x:c r="V64" s="34" t="n">
        <x:f>'直接配方'!$F$58*V38</x:f>
        <x:v>0</x:v>
      </x:c>
      <x:c r="W64" s="34" t="n">
        <x:f>'直接配方'!$F$58*W38</x:f>
        <x:v>0</x:v>
      </x:c>
      <x:c r="X64" s="34" t="n">
        <x:f>'直接配方'!$F$58*X38</x:f>
        <x:v>0</x:v>
      </x:c>
      <x:c r="Y64" s="34" t="n">
        <x:f>'直接配方'!$F$58*Y38</x:f>
        <x:v>0</x:v>
      </x:c>
      <x:c r="Z64" s="34" t="n">
        <x:f>'直接配方'!$F$58*Z38</x:f>
        <x:v>0</x:v>
      </x:c>
      <x:c r="AA64" s="34" t="n">
        <x:f>'直接配方'!$F$58*AA38</x:f>
        <x:v>0</x:v>
      </x:c>
      <x:c r="AB64" s="34" t="n">
        <x:f>'直接配方'!$F$58*AB38</x:f>
        <x:v>0</x:v>
      </x:c>
      <x:c r="AC64" s="34" t="n">
        <x:f>'直接配方'!$F$58*AC38</x:f>
        <x:v>0</x:v>
      </x:c>
    </x:row>
    <x:row r="65" ht="40" customHeight="1">
      <x:c r="A65" s="22" t="str">
        <x:v>I07</x:v>
      </x:c>
      <x:c r="B65" s="22" t="str">
        <x:v>PE管材/薄膜</x:v>
      </x:c>
      <x:c r="C65" s="22" t="str">
        <x:v>kg</x:v>
      </x:c>
      <x:c r="D65" s="34" t="n">
        <x:f>'直接配方'!$F$59*D46</x:f>
        <x:v>3.852926498894989</x:v>
      </x:c>
      <x:c r="E65" s="34" t="n">
        <x:f>'直接配方'!$F$59*E46</x:f>
        <x:v>3.1374492051044416</x:v>
      </x:c>
      <x:c r="F65" s="34" t="n">
        <x:f>'直接配方'!$F$59*F46</x:f>
        <x:v>0</x:v>
      </x:c>
      <x:c r="G65" s="34" t="n">
        <x:f>'直接配方'!$F$59*G46</x:f>
        <x:v>0</x:v>
      </x:c>
      <x:c r="H65" s="34" t="n">
        <x:f>'直接配方'!$F$59*H46</x:f>
        <x:v>0</x:v>
      </x:c>
      <x:c r="I65" s="34" t="n">
        <x:f>'直接配方'!$F$59*I46</x:f>
        <x:v>0</x:v>
      </x:c>
      <x:c r="J65" s="34" t="n">
        <x:f>'直接配方'!$F$59*J46</x:f>
        <x:v>0</x:v>
      </x:c>
      <x:c r="K65" s="34" t="n">
        <x:f>'直接配方'!$F$59*K46</x:f>
        <x:v>0</x:v>
      </x:c>
      <x:c r="L65" s="34" t="n">
        <x:f>'直接配方'!$F$59*L46</x:f>
        <x:v>0</x:v>
      </x:c>
      <x:c r="M65" s="34" t="n">
        <x:f>'直接配方'!$F$59*M46</x:f>
        <x:v>0</x:v>
      </x:c>
      <x:c r="N65" s="34" t="n">
        <x:f>'直接配方'!$F$59*N46</x:f>
        <x:v>0</x:v>
      </x:c>
      <x:c r="O65" s="34" t="n">
        <x:f>'直接配方'!$F$59*O46</x:f>
        <x:v>0</x:v>
      </x:c>
      <x:c r="P65" s="34" t="n">
        <x:f>'直接配方'!$F$59*P46</x:f>
        <x:v>0</x:v>
      </x:c>
      <x:c r="Q65" s="34" t="n">
        <x:f>'直接配方'!$F$59*Q46</x:f>
        <x:v>0</x:v>
      </x:c>
      <x:c r="R65" s="34" t="n">
        <x:f>'直接配方'!$F$59*R46</x:f>
        <x:v>0</x:v>
      </x:c>
      <x:c r="S65" s="34" t="n">
        <x:f>'直接配方'!$F$59*S46</x:f>
        <x:v>0</x:v>
      </x:c>
      <x:c r="T65" s="34" t="n">
        <x:f>'直接配方'!$F$59*T46</x:f>
        <x:v>0</x:v>
      </x:c>
      <x:c r="U65" s="34" t="n">
        <x:f>'直接配方'!$F$59*U46</x:f>
        <x:v>0</x:v>
      </x:c>
      <x:c r="V65" s="34" t="n">
        <x:f>'直接配方'!$F$59*V46</x:f>
        <x:v>0</x:v>
      </x:c>
      <x:c r="W65" s="34" t="n">
        <x:f>'直接配方'!$F$59*W46</x:f>
        <x:v>0</x:v>
      </x:c>
      <x:c r="X65" s="34" t="n">
        <x:f>'直接配方'!$F$59*X46</x:f>
        <x:v>0</x:v>
      </x:c>
      <x:c r="Y65" s="34" t="n">
        <x:f>'直接配方'!$F$59*Y46</x:f>
        <x:v>0</x:v>
      </x:c>
      <x:c r="Z65" s="34" t="n">
        <x:f>'直接配方'!$F$59*Z46</x:f>
        <x:v>0</x:v>
      </x:c>
      <x:c r="AA65" s="34" t="n">
        <x:f>'直接配方'!$F$59*AA46</x:f>
        <x:v>0</x:v>
      </x:c>
      <x:c r="AB65" s="34" t="n">
        <x:f>'直接配方'!$F$59*AB46</x:f>
        <x:v>0</x:v>
      </x:c>
      <x:c r="AC65" s="34" t="n">
        <x:f>'直接配方'!$F$59*AC46</x:f>
        <x:v>0</x:v>
      </x:c>
    </x:row>
    <x:row r="66" ht="40" customHeight="1">
      <x:c r="A66" s="22" t="str">
        <x:v>I08</x:v>
      </x:c>
      <x:c r="B66" s="22" t="str">
        <x:v>硅橡胶密封件</x:v>
      </x:c>
      <x:c r="C66" s="22" t="str">
        <x:v>kg</x:v>
      </x:c>
      <x:c r="D66" s="34" t="n">
        <x:f>'直接配方'!$F$60*D51</x:f>
        <x:v>1.94352293874909</x:v>
      </x:c>
      <x:c r="E66" s="34" t="n">
        <x:f>'直接配方'!$F$60*E51</x:f>
        <x:v>1.89913962834102</x:v>
      </x:c>
      <x:c r="F66" s="34" t="n">
        <x:f>'直接配方'!$F$60*F51</x:f>
        <x:v>0</x:v>
      </x:c>
      <x:c r="G66" s="34" t="n">
        <x:f>'直接配方'!$F$60*G51</x:f>
        <x:v>0</x:v>
      </x:c>
      <x:c r="H66" s="34" t="n">
        <x:f>'直接配方'!$F$60*H51</x:f>
        <x:v>0</x:v>
      </x:c>
      <x:c r="I66" s="34" t="n">
        <x:f>'直接配方'!$F$60*I51</x:f>
        <x:v>0.8481969954419184</x:v>
      </x:c>
      <x:c r="J66" s="34" t="n">
        <x:f>'直接配方'!$F$60*J51</x:f>
        <x:v>0</x:v>
      </x:c>
      <x:c r="K66" s="34" t="n">
        <x:f>'直接配方'!$F$60*K51</x:f>
        <x:v>0</x:v>
      </x:c>
      <x:c r="L66" s="34" t="n">
        <x:f>'直接配方'!$F$60*L51</x:f>
        <x:v>0</x:v>
      </x:c>
      <x:c r="M66" s="34" t="n">
        <x:f>'直接配方'!$F$60*M51</x:f>
        <x:v>0</x:v>
      </x:c>
      <x:c r="N66" s="34" t="n">
        <x:f>'直接配方'!$F$60*N51</x:f>
        <x:v>0</x:v>
      </x:c>
      <x:c r="O66" s="34" t="n">
        <x:f>'直接配方'!$F$60*O51</x:f>
        <x:v>0</x:v>
      </x:c>
      <x:c r="P66" s="34" t="n">
        <x:f>'直接配方'!$F$60*P51</x:f>
        <x:v>0</x:v>
      </x:c>
      <x:c r="Q66" s="34" t="n">
        <x:f>'直接配方'!$F$60*Q51</x:f>
        <x:v>0</x:v>
      </x:c>
      <x:c r="R66" s="34" t="n">
        <x:f>'直接配方'!$F$60*R51</x:f>
        <x:v>0</x:v>
      </x:c>
      <x:c r="S66" s="34" t="n">
        <x:f>'直接配方'!$F$60*S51</x:f>
        <x:v>0</x:v>
      </x:c>
      <x:c r="T66" s="34" t="n">
        <x:f>'直接配方'!$F$60*T51</x:f>
        <x:v>0</x:v>
      </x:c>
      <x:c r="U66" s="34" t="n">
        <x:f>'直接配方'!$F$60*U51</x:f>
        <x:v>0</x:v>
      </x:c>
      <x:c r="V66" s="34" t="n">
        <x:f>'直接配方'!$F$60*V51</x:f>
        <x:v>0</x:v>
      </x:c>
      <x:c r="W66" s="34" t="n">
        <x:f>'直接配方'!$F$60*W51</x:f>
        <x:v>0</x:v>
      </x:c>
      <x:c r="X66" s="34" t="n">
        <x:f>'直接配方'!$F$60*X51</x:f>
        <x:v>0</x:v>
      </x:c>
      <x:c r="Y66" s="34" t="n">
        <x:f>'直接配方'!$F$60*Y51</x:f>
        <x:v>0</x:v>
      </x:c>
      <x:c r="Z66" s="34" t="n">
        <x:f>'直接配方'!$F$60*Z51</x:f>
        <x:v>0</x:v>
      </x:c>
      <x:c r="AA66" s="34" t="n">
        <x:f>'直接配方'!$F$60*AA51</x:f>
        <x:v>0</x:v>
      </x:c>
      <x:c r="AB66" s="34" t="n">
        <x:f>'直接配方'!$F$60*AB51</x:f>
        <x:v>0</x:v>
      </x:c>
      <x:c r="AC66" s="34" t="n">
        <x:f>'直接配方'!$F$60*AC51</x:f>
        <x:v>0</x:v>
      </x:c>
    </x:row>
    <x:row r="67" ht="40" customHeight="1">
      <x:c r="A67" s="22" t="str">
        <x:v>I09</x:v>
      </x:c>
      <x:c r="B67" s="22" t="str">
        <x:v>润滑基料</x:v>
      </x:c>
      <x:c r="C67" s="22" t="str">
        <x:v>kg</x:v>
      </x:c>
      <x:c r="D67" s="34" t="n">
        <x:f>'直接配方'!$F$61*D52</x:f>
        <x:v>3.852926498894989</x:v>
      </x:c>
      <x:c r="E67" s="34" t="n">
        <x:f>'直接配方'!$F$61*E52</x:f>
        <x:v>3.1374492051044416</x:v>
      </x:c>
      <x:c r="F67" s="34" t="n">
        <x:f>'直接配方'!$F$61*F52</x:f>
        <x:v>0</x:v>
      </x:c>
      <x:c r="G67" s="34" t="n">
        <x:f>'直接配方'!$F$61*G52</x:f>
        <x:v>0</x:v>
      </x:c>
      <x:c r="H67" s="34" t="n">
        <x:f>'直接配方'!$F$61*H52</x:f>
        <x:v>0</x:v>
      </x:c>
      <x:c r="I67" s="34" t="n">
        <x:f>'直接配方'!$F$61*I52</x:f>
        <x:v>0</x:v>
      </x:c>
      <x:c r="J67" s="34" t="n">
        <x:f>'直接配方'!$F$61*J52</x:f>
        <x:v>0</x:v>
      </x:c>
      <x:c r="K67" s="34" t="n">
        <x:f>'直接配方'!$F$61*K52</x:f>
        <x:v>0</x:v>
      </x:c>
      <x:c r="L67" s="34" t="n">
        <x:f>'直接配方'!$F$61*L52</x:f>
        <x:v>0</x:v>
      </x:c>
      <x:c r="M67" s="34" t="n">
        <x:f>'直接配方'!$F$61*M52</x:f>
        <x:v>0</x:v>
      </x:c>
      <x:c r="N67" s="34" t="n">
        <x:f>'直接配方'!$F$61*N52</x:f>
        <x:v>0</x:v>
      </x:c>
      <x:c r="O67" s="34" t="n">
        <x:f>'直接配方'!$F$61*O52</x:f>
        <x:v>0</x:v>
      </x:c>
      <x:c r="P67" s="34" t="n">
        <x:f>'直接配方'!$F$61*P52</x:f>
        <x:v>0</x:v>
      </x:c>
      <x:c r="Q67" s="34" t="n">
        <x:f>'直接配方'!$F$61*Q52</x:f>
        <x:v>0</x:v>
      </x:c>
      <x:c r="R67" s="34" t="n">
        <x:f>'直接配方'!$F$61*R52</x:f>
        <x:v>0</x:v>
      </x:c>
      <x:c r="S67" s="34" t="n">
        <x:f>'直接配方'!$F$61*S52</x:f>
        <x:v>0</x:v>
      </x:c>
      <x:c r="T67" s="34" t="n">
        <x:f>'直接配方'!$F$61*T52</x:f>
        <x:v>0</x:v>
      </x:c>
      <x:c r="U67" s="34" t="n">
        <x:f>'直接配方'!$F$61*U52</x:f>
        <x:v>0</x:v>
      </x:c>
      <x:c r="V67" s="34" t="n">
        <x:f>'直接配方'!$F$61*V52</x:f>
        <x:v>0</x:v>
      </x:c>
      <x:c r="W67" s="34" t="n">
        <x:f>'直接配方'!$F$61*W52</x:f>
        <x:v>0</x:v>
      </x:c>
      <x:c r="X67" s="34" t="n">
        <x:f>'直接配方'!$F$61*X52</x:f>
        <x:v>0</x:v>
      </x:c>
      <x:c r="Y67" s="34" t="n">
        <x:f>'直接配方'!$F$61*Y52</x:f>
        <x:v>0</x:v>
      </x:c>
      <x:c r="Z67" s="34" t="n">
        <x:f>'直接配方'!$F$61*Z52</x:f>
        <x:v>0</x:v>
      </x:c>
      <x:c r="AA67" s="34" t="n">
        <x:f>'直接配方'!$F$61*AA52</x:f>
        <x:v>0</x:v>
      </x:c>
      <x:c r="AB67" s="34" t="n">
        <x:f>'直接配方'!$F$61*AB52</x:f>
        <x:v>0</x:v>
      </x:c>
      <x:c r="AC67" s="34" t="n">
        <x:f>'直接配方'!$F$61*AC52</x:f>
        <x:v>0</x:v>
      </x:c>
    </x:row>
    <x:row r="68" ht="40" customHeight="1">
      <x:c r="A68" s="22" t="str">
        <x:v>I10</x:v>
      </x:c>
      <x:c r="B68" s="22" t="str">
        <x:v>钢制紧固件</x:v>
      </x:c>
      <x:c r="C68" s="22" t="str">
        <x:v>kg</x:v>
      </x:c>
      <x:c r="D68" s="34" t="n">
        <x:f>'直接配方'!$F$62*D37</x:f>
        <x:v>0.4889156970735462</x:v>
      </x:c>
      <x:c r="E68" s="34" t="n">
        <x:f>'直接配方'!$F$62*E37</x:f>
        <x:v>0.00732811589376405</x:v>
      </x:c>
      <x:c r="F68" s="34" t="n">
        <x:f>'直接配方'!$F$62*F37</x:f>
        <x:v>0</x:v>
      </x:c>
      <x:c r="G68" s="34" t="n">
        <x:f>'直接配方'!$F$62*G37</x:f>
        <x:v>0</x:v>
      </x:c>
      <x:c r="H68" s="34" t="n">
        <x:f>'直接配方'!$F$62*H37</x:f>
        <x:v>0</x:v>
      </x:c>
      <x:c r="I68" s="34" t="n">
        <x:f>'直接配方'!$F$62*I37</x:f>
        <x:v>0</x:v>
      </x:c>
      <x:c r="J68" s="34" t="n">
        <x:f>'直接配方'!$F$62*J37</x:f>
        <x:v>1.426874617244158</x:v>
      </x:c>
      <x:c r="K68" s="34" t="n">
        <x:f>'直接配方'!$F$62*K37</x:f>
        <x:v>0</x:v>
      </x:c>
      <x:c r="L68" s="34" t="n">
        <x:f>'直接配方'!$F$62*L37</x:f>
        <x:v>0</x:v>
      </x:c>
      <x:c r="M68" s="34" t="n">
        <x:f>'直接配方'!$F$62*M37</x:f>
        <x:v>0</x:v>
      </x:c>
      <x:c r="N68" s="34" t="n">
        <x:f>'直接配方'!$F$62*N37</x:f>
        <x:v>0</x:v>
      </x:c>
      <x:c r="O68" s="34" t="n">
        <x:f>'直接配方'!$F$62*O37</x:f>
        <x:v>0</x:v>
      </x:c>
      <x:c r="P68" s="34" t="n">
        <x:f>'直接配方'!$F$62*P37</x:f>
        <x:v>0</x:v>
      </x:c>
      <x:c r="Q68" s="34" t="n">
        <x:f>'直接配方'!$F$62*Q37</x:f>
        <x:v>0</x:v>
      </x:c>
      <x:c r="R68" s="34" t="n">
        <x:f>'直接配方'!$F$62*R37</x:f>
        <x:v>0</x:v>
      </x:c>
      <x:c r="S68" s="34" t="n">
        <x:f>'直接配方'!$F$62*S37</x:f>
        <x:v>0</x:v>
      </x:c>
      <x:c r="T68" s="34" t="n">
        <x:f>'直接配方'!$F$62*T37</x:f>
        <x:v>0</x:v>
      </x:c>
      <x:c r="U68" s="34" t="n">
        <x:f>'直接配方'!$F$62*U37</x:f>
        <x:v>0</x:v>
      </x:c>
      <x:c r="V68" s="34" t="n">
        <x:f>'直接配方'!$F$62*V37</x:f>
        <x:v>0</x:v>
      </x:c>
      <x:c r="W68" s="34" t="n">
        <x:f>'直接配方'!$F$62*W37</x:f>
        <x:v>0</x:v>
      </x:c>
      <x:c r="X68" s="34" t="n">
        <x:f>'直接配方'!$F$62*X37</x:f>
        <x:v>0</x:v>
      </x:c>
      <x:c r="Y68" s="34" t="n">
        <x:f>'直接配方'!$F$62*Y37</x:f>
        <x:v>0</x:v>
      </x:c>
      <x:c r="Z68" s="34" t="n">
        <x:f>'直接配方'!$F$62*Z37</x:f>
        <x:v>0</x:v>
      </x:c>
      <x:c r="AA68" s="34" t="n">
        <x:f>'直接配方'!$F$62*AA37</x:f>
        <x:v>0</x:v>
      </x:c>
      <x:c r="AB68" s="34" t="n">
        <x:f>'直接配方'!$F$62*AB37</x:f>
        <x:v>0</x:v>
      </x:c>
      <x:c r="AC68" s="34" t="n">
        <x:f>'直接配方'!$F$62*AC37</x:f>
        <x:v>0</x:v>
      </x:c>
    </x:row>
    <x:row r="69" ht="40" customHeight="1">
      <x:c r="A69" s="22" t="str">
        <x:v>I11</x:v>
      </x:c>
      <x:c r="B69" s="22" t="str">
        <x:v>流体泵套件</x:v>
      </x:c>
      <x:c r="C69" s="22" t="str">
        <x:v>套（名义1kW）</x:v>
      </x:c>
      <x:c r="D69" s="34" t="n">
        <x:f>'直接配方'!$F$63*D37+'直接配方'!$F$64*D38+'直接配方'!$F$65*D51+'直接配方'!$F$66*D49+'直接配方'!$F$67*D27+'直接配方'!$F$68*D28</x:f>
        <x:v>6.680936083592622</x:v>
      </x:c>
      <x:c r="E69" s="34" t="n">
        <x:f>'直接配方'!$F$63*E37+'直接配方'!$F$64*E38+'直接配方'!$F$65*E51+'直接配方'!$F$66*E49+'直接配方'!$F$67*E27+'直接配方'!$F$68*E28</x:f>
        <x:v>0.4677653163933726</x:v>
      </x:c>
      <x:c r="F69" s="34" t="n">
        <x:f>'直接配方'!$F$63*F37+'直接配方'!$F$64*F38+'直接配方'!$F$65*F51+'直接配方'!$F$66*F49+'直接配方'!$F$67*F27+'直接配方'!$F$68*F28</x:f>
        <x:v>0</x:v>
      </x:c>
      <x:c r="G69" s="34" t="n">
        <x:f>'直接配方'!$F$63*G37+'直接配方'!$F$64*G38+'直接配方'!$F$65*G51+'直接配方'!$F$66*G49+'直接配方'!$F$67*G27+'直接配方'!$F$68*G28</x:f>
        <x:v>0</x:v>
      </x:c>
      <x:c r="H69" s="34" t="n">
        <x:f>'直接配方'!$F$63*H37+'直接配方'!$F$64*H38+'直接配方'!$F$65*H51+'直接配方'!$F$66*H49+'直接配方'!$F$67*H27+'直接配方'!$F$68*H28</x:f>
        <x:v>1.1111111111111112</x:v>
      </x:c>
      <x:c r="I69" s="34" t="n">
        <x:f>'直接配方'!$F$63*I37+'直接配方'!$F$64*I38+'直接配方'!$F$65*I51+'直接配方'!$F$66*I49+'直接配方'!$F$67*I27+'直接配方'!$F$68*I28</x:f>
        <x:v>0.16963939908838369</x:v>
      </x:c>
      <x:c r="J69" s="34" t="n">
        <x:f>'直接配方'!$F$63*J37+'直接配方'!$F$64*J38+'直接配方'!$F$65*J51+'直接配方'!$F$66*J49+'直接配方'!$F$67*J27+'直接配方'!$F$68*J28</x:f>
        <x:v>17.122495406929897</x:v>
      </x:c>
      <x:c r="K69" s="34" t="n">
        <x:f>'直接配方'!$F$63*K37+'直接配方'!$F$64*K38+'直接配方'!$F$65*K51+'直接配方'!$F$66*K49+'直接配方'!$F$67*K27+'直接配方'!$F$68*K28</x:f>
        <x:v>0</x:v>
      </x:c>
      <x:c r="L69" s="34" t="n">
        <x:f>'直接配方'!$F$63*L37+'直接配方'!$F$64*L38+'直接配方'!$F$65*L51+'直接配方'!$F$66*L49+'直接配方'!$F$67*L27+'直接配方'!$F$68*L28</x:f>
        <x:v>0</x:v>
      </x:c>
      <x:c r="M69" s="34" t="n">
        <x:f>'直接配方'!$F$63*M37+'直接配方'!$F$64*M38+'直接配方'!$F$65*M51+'直接配方'!$F$66*M49+'直接配方'!$F$67*M27+'直接配方'!$F$68*M28</x:f>
        <x:v>0</x:v>
      </x:c>
      <x:c r="N69" s="34" t="n">
        <x:f>'直接配方'!$F$63*N37+'直接配方'!$F$64*N38+'直接配方'!$F$65*N51+'直接配方'!$F$66*N49+'直接配方'!$F$67*N27+'直接配方'!$F$68*N28</x:f>
        <x:v>0</x:v>
      </x:c>
      <x:c r="O69" s="34" t="n">
        <x:f>'直接配方'!$F$63*O37+'直接配方'!$F$64*O38+'直接配方'!$F$65*O51+'直接配方'!$F$66*O49+'直接配方'!$F$67*O27+'直接配方'!$F$68*O28</x:f>
        <x:v>0</x:v>
      </x:c>
      <x:c r="P69" s="34" t="n">
        <x:f>'直接配方'!$F$63*P37+'直接配方'!$F$64*P38+'直接配方'!$F$65*P51+'直接配方'!$F$66*P49+'直接配方'!$F$67*P27+'直接配方'!$F$68*P28</x:f>
        <x:v>0</x:v>
      </x:c>
      <x:c r="Q69" s="34" t="n">
        <x:f>'直接配方'!$F$63*Q37+'直接配方'!$F$64*Q38+'直接配方'!$F$65*Q51+'直接配方'!$F$66*Q49+'直接配方'!$F$67*Q27+'直接配方'!$F$68*Q28</x:f>
        <x:v>1.8776555566046644</x:v>
      </x:c>
      <x:c r="R69" s="34" t="n">
        <x:f>'直接配方'!$F$63*R37+'直接配方'!$F$64*R38+'直接配方'!$F$65*R51+'直接配方'!$F$66*R49+'直接配方'!$F$67*R27+'直接配方'!$F$68*R28</x:f>
        <x:v>0</x:v>
      </x:c>
      <x:c r="S69" s="34" t="n">
        <x:f>'直接配方'!$F$63*S37+'直接配方'!$F$64*S38+'直接配方'!$F$65*S51+'直接配方'!$F$66*S49+'直接配方'!$F$67*S27+'直接配方'!$F$68*S28</x:f>
        <x:v>0</x:v>
      </x:c>
      <x:c r="T69" s="34" t="n">
        <x:f>'直接配方'!$F$63*T37+'直接配方'!$F$64*T38+'直接配方'!$F$65*T51+'直接配方'!$F$66*T49+'直接配方'!$F$67*T27+'直接配方'!$F$68*T28</x:f>
        <x:v>0</x:v>
      </x:c>
      <x:c r="U69" s="34" t="n">
        <x:f>'直接配方'!$F$63*U37+'直接配方'!$F$64*U38+'直接配方'!$F$65*U51+'直接配方'!$F$66*U49+'直接配方'!$F$67*U27+'直接配方'!$F$68*U28</x:f>
        <x:v>0</x:v>
      </x:c>
      <x:c r="V69" s="34" t="n">
        <x:f>'直接配方'!$F$63*V37+'直接配方'!$F$64*V38+'直接配方'!$F$65*V51+'直接配方'!$F$66*V49+'直接配方'!$F$67*V27+'直接配方'!$F$68*V28</x:f>
        <x:v>0</x:v>
      </x:c>
      <x:c r="W69" s="34" t="n">
        <x:f>'直接配方'!$F$63*W37+'直接配方'!$F$64*W38+'直接配方'!$F$65*W51+'直接配方'!$F$66*W49+'直接配方'!$F$67*W27+'直接配方'!$F$68*W28</x:f>
        <x:v>0</x:v>
      </x:c>
      <x:c r="X69" s="34" t="n">
        <x:f>'直接配方'!$F$63*X37+'直接配方'!$F$64*X38+'直接配方'!$F$65*X51+'直接配方'!$F$66*X49+'直接配方'!$F$67*X27+'直接配方'!$F$68*X28</x:f>
        <x:v>0</x:v>
      </x:c>
      <x:c r="Y69" s="34" t="n">
        <x:f>'直接配方'!$F$63*Y37+'直接配方'!$F$64*Y38+'直接配方'!$F$65*Y51+'直接配方'!$F$66*Y49+'直接配方'!$F$67*Y27+'直接配方'!$F$68*Y28</x:f>
        <x:v>0.3</x:v>
      </x:c>
      <x:c r="Z69" s="34" t="n">
        <x:f>'直接配方'!$F$63*Z37+'直接配方'!$F$64*Z38+'直接配方'!$F$65*Z51+'直接配方'!$F$66*Z49+'直接配方'!$F$67*Z27+'直接配方'!$F$68*Z28</x:f>
        <x:v>0.5</x:v>
      </x:c>
      <x:c r="AA69" s="34" t="n">
        <x:f>'直接配方'!$F$63*AA37+'直接配方'!$F$64*AA38+'直接配方'!$F$65*AA51+'直接配方'!$F$66*AA49+'直接配方'!$F$67*AA27+'直接配方'!$F$68*AA28</x:f>
        <x:v>0</x:v>
      </x:c>
      <x:c r="AB69" s="34" t="n">
        <x:f>'直接配方'!$F$63*AB37+'直接配方'!$F$64*AB38+'直接配方'!$F$65*AB51+'直接配方'!$F$66*AB49+'直接配方'!$F$67*AB27+'直接配方'!$F$68*AB28</x:f>
        <x:v>0</x:v>
      </x:c>
      <x:c r="AC69" s="34" t="n">
        <x:f>'直接配方'!$F$63*AC37+'直接配方'!$F$64*AC38+'直接配方'!$F$65*AC51+'直接配方'!$F$66*AC49+'直接配方'!$F$67*AC27+'直接配方'!$F$68*AC28</x:f>
        <x:v>0</x:v>
      </x:c>
    </x:row>
    <x:row r="70" ht="40" customHeight="1">
      <x:c r="A70" s="22" t="str">
        <x:v>I12</x:v>
      </x:c>
      <x:c r="B70" s="22" t="str">
        <x:v>感应电机套件</x:v>
      </x:c>
      <x:c r="C70" s="22" t="str">
        <x:v>套（名义1kW）</x:v>
      </x:c>
      <x:c r="D70" s="34" t="n">
        <x:f>'直接配方'!$F$69*D37+'直接配方'!$F$70*D38+'直接配方'!$F$71*D48+'直接配方'!$F$72*D51+'直接配方'!$F$73*D27+'直接配方'!$F$74*D28</x:f>
        <x:v>5.6505001058907025</x:v>
      </x:c>
      <x:c r="E70" s="34" t="n">
        <x:f>'直接配方'!$F$69*E37+'直接配方'!$F$70*E38+'直接配方'!$F$71*E48+'直接配方'!$F$72*E51+'直接配方'!$F$73*E27+'直接配方'!$F$74*E28</x:f>
        <x:v>0.26319512177174254</x:v>
      </x:c>
      <x:c r="F70" s="34" t="n">
        <x:f>'直接配方'!$F$69*F37+'直接配方'!$F$70*F38+'直接配方'!$F$71*F48+'直接配方'!$F$72*F51+'直接配方'!$F$73*F27+'直接配方'!$F$74*F28</x:f>
        <x:v>0</x:v>
      </x:c>
      <x:c r="G70" s="34" t="n">
        <x:f>'直接配方'!$F$69*G37+'直接配方'!$F$70*G38+'直接配方'!$F$71*G48+'直接配方'!$F$72*G51+'直接配方'!$F$73*G27+'直接配方'!$F$74*G28</x:f>
        <x:v>0</x:v>
      </x:c>
      <x:c r="H70" s="34" t="n">
        <x:f>'直接配方'!$F$69*H37+'直接配方'!$F$70*H38+'直接配方'!$F$71*H48+'直接配方'!$F$72*H51+'直接配方'!$F$73*H27+'直接配方'!$F$74*H28</x:f>
        <x:v>0</x:v>
      </x:c>
      <x:c r="I70" s="34" t="n">
        <x:f>'直接配方'!$F$69*I37+'直接配方'!$F$70*I38+'直接配方'!$F$71*I48+'直接配方'!$F$72*I51+'直接配方'!$F$73*I27+'直接配方'!$F$74*I28</x:f>
        <x:v>0.6111354890178761</x:v>
      </x:c>
      <x:c r="J70" s="34" t="n">
        <x:f>'直接配方'!$F$69*J37+'直接配方'!$F$70*J38+'直接配方'!$F$71*J48+'直接配方'!$F$72*J51+'直接配方'!$F$73*J27+'直接配方'!$F$74*J28</x:f>
        <x:v>14.26874617244158</x:v>
      </x:c>
      <x:c r="K70" s="34" t="n">
        <x:f>'直接配方'!$F$69*K37+'直接配方'!$F$70*K38+'直接配方'!$F$71*K48+'直接配方'!$F$72*K51+'直接配方'!$F$73*K27+'直接配方'!$F$74*K28</x:f>
        <x:v>0</x:v>
      </x:c>
      <x:c r="L70" s="34" t="n">
        <x:f>'直接配方'!$F$69*L37+'直接配方'!$F$70*L38+'直接配方'!$F$71*L48+'直接配方'!$F$72*L51+'直接配方'!$F$73*L27+'直接配方'!$F$74*L28</x:f>
        <x:v>0</x:v>
      </x:c>
      <x:c r="M70" s="34" t="n">
        <x:f>'直接配方'!$F$69*M37+'直接配方'!$F$70*M38+'直接配方'!$F$71*M48+'直接配方'!$F$72*M51+'直接配方'!$F$73*M27+'直接配方'!$F$74*M28</x:f>
        <x:v>0</x:v>
      </x:c>
      <x:c r="N70" s="34" t="n">
        <x:f>'直接配方'!$F$69*N37+'直接配方'!$F$70*N38+'直接配方'!$F$71*N48+'直接配方'!$F$72*N51+'直接配方'!$F$73*N27+'直接配方'!$F$74*N28</x:f>
        <x:v>0</x:v>
      </x:c>
      <x:c r="O70" s="34" t="n">
        <x:f>'直接配方'!$F$69*O37+'直接配方'!$F$70*O38+'直接配方'!$F$71*O48+'直接配方'!$F$72*O51+'直接配方'!$F$73*O27+'直接配方'!$F$74*O28</x:f>
        <x:v>0</x:v>
      </x:c>
      <x:c r="P70" s="34" t="n">
        <x:f>'直接配方'!$F$69*P37+'直接配方'!$F$70*P38+'直接配方'!$F$71*P48+'直接配方'!$F$72*P51+'直接配方'!$F$73*P27+'直接配方'!$F$74*P28</x:f>
        <x:v>0</x:v>
      </x:c>
      <x:c r="Q70" s="34" t="n">
        <x:f>'直接配方'!$F$69*Q37+'直接配方'!$F$70*Q38+'直接配方'!$F$71*Q48+'直接配方'!$F$72*Q51+'直接配方'!$F$73*Q27+'直接配方'!$F$74*Q28</x:f>
        <x:v>2.5035407421395526</x:v>
      </x:c>
      <x:c r="R70" s="34" t="n">
        <x:f>'直接配方'!$F$69*R37+'直接配方'!$F$70*R38+'直接配方'!$F$71*R48+'直接配方'!$F$72*R51+'直接配方'!$F$73*R27+'直接配方'!$F$74*R28</x:f>
        <x:v>0</x:v>
      </x:c>
      <x:c r="S70" s="34" t="n">
        <x:f>'直接配方'!$F$69*S37+'直接配方'!$F$70*S38+'直接配方'!$F$71*S48+'直接配方'!$F$72*S51+'直接配方'!$F$73*S27+'直接配方'!$F$74*S28</x:f>
        <x:v>0</x:v>
      </x:c>
      <x:c r="T70" s="34" t="n">
        <x:f>'直接配方'!$F$69*T37+'直接配方'!$F$70*T38+'直接配方'!$F$71*T48+'直接配方'!$F$72*T51+'直接配方'!$F$73*T27+'直接配方'!$F$74*T28</x:f>
        <x:v>0</x:v>
      </x:c>
      <x:c r="U70" s="34" t="n">
        <x:f>'直接配方'!$F$69*U37+'直接配方'!$F$70*U38+'直接配方'!$F$71*U48+'直接配方'!$F$72*U51+'直接配方'!$F$73*U27+'直接配方'!$F$74*U28</x:f>
        <x:v>0</x:v>
      </x:c>
      <x:c r="V70" s="34" t="n">
        <x:f>'直接配方'!$F$69*V37+'直接配方'!$F$70*V38+'直接配方'!$F$71*V48+'直接配方'!$F$72*V51+'直接配方'!$F$73*V27+'直接配方'!$F$74*V28</x:f>
        <x:v>0</x:v>
      </x:c>
      <x:c r="W70" s="34" t="n">
        <x:f>'直接配方'!$F$69*W37+'直接配方'!$F$70*W38+'直接配方'!$F$71*W48+'直接配方'!$F$72*W51+'直接配方'!$F$73*W27+'直接配方'!$F$74*W28</x:f>
        <x:v>0</x:v>
      </x:c>
      <x:c r="X70" s="34" t="n">
        <x:f>'直接配方'!$F$69*X37+'直接配方'!$F$70*X38+'直接配方'!$F$71*X48+'直接配方'!$F$72*X51+'直接配方'!$F$73*X27+'直接配方'!$F$74*X28</x:f>
        <x:v>0</x:v>
      </x:c>
      <x:c r="Y70" s="34" t="n">
        <x:f>'直接配方'!$F$69*Y37+'直接配方'!$F$70*Y38+'直接配方'!$F$71*Y48+'直接配方'!$F$72*Y51+'直接配方'!$F$73*Y27+'直接配方'!$F$74*Y28</x:f>
        <x:v>0.5</x:v>
      </x:c>
      <x:c r="Z70" s="34" t="n">
        <x:f>'直接配方'!$F$69*Z37+'直接配方'!$F$70*Z38+'直接配方'!$F$71*Z48+'直接配方'!$F$72*Z51+'直接配方'!$F$73*Z27+'直接配方'!$F$74*Z28</x:f>
        <x:v>0.3</x:v>
      </x:c>
      <x:c r="AA70" s="34" t="n">
        <x:f>'直接配方'!$F$69*AA37+'直接配方'!$F$70*AA38+'直接配方'!$F$71*AA48+'直接配方'!$F$72*AA51+'直接配方'!$F$73*AA27+'直接配方'!$F$74*AA28</x:f>
        <x:v>0</x:v>
      </x:c>
      <x:c r="AB70" s="34" t="n">
        <x:f>'直接配方'!$F$69*AB37+'直接配方'!$F$70*AB38+'直接配方'!$F$71*AB48+'直接配方'!$F$72*AB51+'直接配方'!$F$73*AB27+'直接配方'!$F$74*AB28</x:f>
        <x:v>0</x:v>
      </x:c>
      <x:c r="AC70" s="34" t="n">
        <x:f>'直接配方'!$F$69*AC37+'直接配方'!$F$70*AC38+'直接配方'!$F$71*AC48+'直接配方'!$F$72*AC51+'直接配方'!$F$73*AC27+'直接配方'!$F$74*AC28</x:f>
        <x:v>0</x:v>
      </x:c>
    </x:row>
    <x:row r="71" ht="40" customHeight="1">
      <x:c r="A71" s="22" t="str">
        <x:v>I13</x:v>
      </x:c>
      <x:c r="B71" s="22" t="str">
        <x:v>储液/储气容器套件</x:v>
      </x:c>
      <x:c r="C71" s="22" t="str">
        <x:v>套（容积1m³）</x:v>
      </x:c>
      <x:c r="D71" s="34" t="n">
        <x:f>'直接配方'!$F$75*D37+'直接配方'!$F$76*D51+'直接配方'!$F$77*D38+'直接配方'!$F$78*D27+'直接配方'!$F$79*D28</x:f>
        <x:v>29.865394122482673</x:v>
      </x:c>
      <x:c r="E71" s="34" t="n">
        <x:f>'直接配方'!$F$75*E37+'直接配方'!$F$76*E51+'直接配方'!$F$77*E38+'直接配方'!$F$78*E27+'直接配方'!$F$79*E28</x:f>
        <x:v>0.819514879294047</x:v>
      </x:c>
      <x:c r="F71" s="34" t="n">
        <x:f>'直接配方'!$F$75*F37+'直接配方'!$F$76*F51+'直接配方'!$F$77*F38+'直接配方'!$F$78*F27+'直接配方'!$F$79*F28</x:f>
        <x:v>0</x:v>
      </x:c>
      <x:c r="G71" s="34" t="n">
        <x:f>'直接配方'!$F$75*G37+'直接配方'!$F$76*G51+'直接配方'!$F$77*G38+'直接配方'!$F$78*G27+'直接配方'!$F$79*G28</x:f>
        <x:v>0</x:v>
      </x:c>
      <x:c r="H71" s="34" t="n">
        <x:f>'直接配方'!$F$75*H37+'直接配方'!$F$76*H51+'直接配方'!$F$77*H38+'直接配方'!$F$78*H27+'直接配方'!$F$79*H28</x:f>
        <x:v>0</x:v>
      </x:c>
      <x:c r="I71" s="34" t="n">
        <x:f>'直接配方'!$F$75*I37+'直接配方'!$F$76*I51+'直接配方'!$F$77*I38+'直接配方'!$F$78*I27+'直接配方'!$F$79*I28</x:f>
        <x:v>0.16963939908838369</x:v>
      </x:c>
      <x:c r="J71" s="34" t="n">
        <x:f>'直接配方'!$F$75*J37+'直接配方'!$F$76*J51+'直接配方'!$F$77*J38+'直接配方'!$F$78*J27+'直接配方'!$F$79*J28</x:f>
        <x:v>85.61247703464947</x:v>
      </x:c>
      <x:c r="K71" s="34" t="n">
        <x:f>'直接配方'!$F$75*K37+'直接配方'!$F$76*K51+'直接配方'!$F$77*K38+'直接配方'!$F$78*K27+'直接配方'!$F$79*K28</x:f>
        <x:v>0</x:v>
      </x:c>
      <x:c r="L71" s="34" t="n">
        <x:f>'直接配方'!$F$75*L37+'直接配方'!$F$76*L51+'直接配方'!$F$77*L38+'直接配方'!$F$78*L27+'直接配方'!$F$79*L28</x:f>
        <x:v>0</x:v>
      </x:c>
      <x:c r="M71" s="34" t="n">
        <x:f>'直接配方'!$F$75*M37+'直接配方'!$F$76*M51+'直接配方'!$F$77*M38+'直接配方'!$F$78*M27+'直接配方'!$F$79*M28</x:f>
        <x:v>0</x:v>
      </x:c>
      <x:c r="N71" s="34" t="n">
        <x:f>'直接配方'!$F$75*N37+'直接配方'!$F$76*N51+'直接配方'!$F$77*N38+'直接配方'!$F$78*N27+'直接配方'!$F$79*N28</x:f>
        <x:v>0</x:v>
      </x:c>
      <x:c r="O71" s="34" t="n">
        <x:f>'直接配方'!$F$75*O37+'直接配方'!$F$76*O51+'直接配方'!$F$77*O38+'直接配方'!$F$78*O27+'直接配方'!$F$79*O28</x:f>
        <x:v>0</x:v>
      </x:c>
      <x:c r="P71" s="34" t="n">
        <x:f>'直接配方'!$F$75*P37+'直接配方'!$F$76*P51+'直接配方'!$F$77*P38+'直接配方'!$F$78*P27+'直接配方'!$F$79*P28</x:f>
        <x:v>0</x:v>
      </x:c>
      <x:c r="Q71" s="34" t="n">
        <x:f>'直接配方'!$F$75*Q37+'直接配方'!$F$76*Q51+'直接配方'!$F$77*Q38+'直接配方'!$F$78*Q27+'直接配方'!$F$79*Q28</x:f>
        <x:v>0.6258851855348881</x:v>
      </x:c>
      <x:c r="R71" s="34" t="n">
        <x:f>'直接配方'!$F$75*R37+'直接配方'!$F$76*R51+'直接配方'!$F$77*R38+'直接配方'!$F$78*R27+'直接配方'!$F$79*R28</x:f>
        <x:v>0</x:v>
      </x:c>
      <x:c r="S71" s="34" t="n">
        <x:f>'直接配方'!$F$75*S37+'直接配方'!$F$76*S51+'直接配方'!$F$77*S38+'直接配方'!$F$78*S27+'直接配方'!$F$79*S28</x:f>
        <x:v>0</x:v>
      </x:c>
      <x:c r="T71" s="34" t="n">
        <x:f>'直接配方'!$F$75*T37+'直接配方'!$F$76*T51+'直接配方'!$F$77*T38+'直接配方'!$F$78*T27+'直接配方'!$F$79*T28</x:f>
        <x:v>0</x:v>
      </x:c>
      <x:c r="U71" s="34" t="n">
        <x:f>'直接配方'!$F$75*U37+'直接配方'!$F$76*U51+'直接配方'!$F$77*U38+'直接配方'!$F$78*U27+'直接配方'!$F$79*U28</x:f>
        <x:v>0</x:v>
      </x:c>
      <x:c r="V71" s="34" t="n">
        <x:f>'直接配方'!$F$75*V37+'直接配方'!$F$76*V51+'直接配方'!$F$77*V38+'直接配方'!$F$78*V27+'直接配方'!$F$79*V28</x:f>
        <x:v>0</x:v>
      </x:c>
      <x:c r="W71" s="34" t="n">
        <x:f>'直接配方'!$F$75*W37+'直接配方'!$F$76*W51+'直接配方'!$F$77*W38+'直接配方'!$F$78*W27+'直接配方'!$F$79*W28</x:f>
        <x:v>0</x:v>
      </x:c>
      <x:c r="X71" s="34" t="n">
        <x:f>'直接配方'!$F$75*X37+'直接配方'!$F$76*X51+'直接配方'!$F$77*X38+'直接配方'!$F$78*X27+'直接配方'!$F$79*X28</x:f>
        <x:v>0</x:v>
      </x:c>
      <x:c r="Y71" s="34" t="n">
        <x:f>'直接配方'!$F$75*Y37+'直接配方'!$F$76*Y51+'直接配方'!$F$77*Y38+'直接配方'!$F$78*Y27+'直接配方'!$F$79*Y28</x:f>
        <x:v>0.2</x:v>
      </x:c>
      <x:c r="Z71" s="34" t="n">
        <x:f>'直接配方'!$F$75*Z37+'直接配方'!$F$76*Z51+'直接配方'!$F$77*Z38+'直接配方'!$F$78*Z27+'直接配方'!$F$79*Z28</x:f>
        <x:v>0.3</x:v>
      </x:c>
      <x:c r="AA71" s="34" t="n">
        <x:f>'直接配方'!$F$75*AA37+'直接配方'!$F$76*AA51+'直接配方'!$F$77*AA38+'直接配方'!$F$78*AA27+'直接配方'!$F$79*AA28</x:f>
        <x:v>0</x:v>
      </x:c>
      <x:c r="AB71" s="34" t="n">
        <x:f>'直接配方'!$F$75*AB37+'直接配方'!$F$76*AB51+'直接配方'!$F$77*AB38+'直接配方'!$F$78*AB27+'直接配方'!$F$79*AB28</x:f>
        <x:v>0</x:v>
      </x:c>
      <x:c r="AC71" s="34" t="n">
        <x:f>'直接配方'!$F$75*AC37+'直接配方'!$F$76*AC51+'直接配方'!$F$77*AC38+'直接配方'!$F$78*AC27+'直接配方'!$F$79*AC28</x:f>
        <x:v>0</x:v>
      </x:c>
    </x:row>
    <x:row r="72" ht="40" customHeight="1">
      <x:c r="A72" s="22" t="str">
        <x:v>I14</x:v>
      </x:c>
      <x:c r="B72" s="22" t="str">
        <x:v>电热炉套件</x:v>
      </x:c>
      <x:c r="C72" s="22" t="str">
        <x:v>套（名义1kW输入）</x:v>
      </x:c>
      <x:c r="D72" s="34" t="n">
        <x:f>'直接配方'!$F$80*D37+'直接配方'!$F$81*D49+'直接配方'!$F$82*D38+'直接配方'!$F$83*D35+'直接配方'!$F$84*D27+'直接配方'!$F$85*D29</x:f>
        <x:v>4.086201310166209</x:v>
      </x:c>
      <x:c r="E72" s="34" t="n">
        <x:f>'直接配方'!$F$80*E37+'直接配方'!$F$81*E49+'直接配方'!$F$82*E38+'直接配方'!$F$83*E35+'直接配方'!$F$84*E27+'直接配方'!$F$85*E29</x:f>
        <x:v>1.8686695529098327</x:v>
      </x:c>
      <x:c r="F72" s="34" t="n">
        <x:f>'直接配方'!$F$80*F37+'直接配方'!$F$81*F49+'直接配方'!$F$82*F38+'直接配方'!$F$83*F35+'直接配方'!$F$84*F27+'直接配方'!$F$85*F29</x:f>
        <x:v>0</x:v>
      </x:c>
      <x:c r="G72" s="34" t="n">
        <x:f>'直接配方'!$F$80*G37+'直接配方'!$F$81*G49+'直接配方'!$F$82*G38+'直接配方'!$F$83*G35+'直接配方'!$F$84*G27+'直接配方'!$F$85*G29</x:f>
        <x:v>0</x:v>
      </x:c>
      <x:c r="H72" s="34" t="n">
        <x:f>'直接配方'!$F$80*H37+'直接配方'!$F$81*H49+'直接配方'!$F$82*H38+'直接配方'!$F$83*H35+'直接配方'!$F$84*H27+'直接配方'!$F$85*H29</x:f>
        <x:v>11.11111111111111</x:v>
      </x:c>
      <x:c r="I72" s="34" t="n">
        <x:f>'直接配方'!$F$80*I37+'直接配方'!$F$81*I49+'直接配方'!$F$82*I38+'直接配方'!$F$83*I35+'直接配方'!$F$84*I27+'直接配方'!$F$85*I29</x:f>
        <x:v>0</x:v>
      </x:c>
      <x:c r="J72" s="34" t="n">
        <x:f>'直接配方'!$F$80*J37+'直接配方'!$F$81*J49+'直接配方'!$F$82*J38+'直接配方'!$F$83*J35+'直接配方'!$F$84*J27+'直接配方'!$F$85*J29</x:f>
        <x:v>7.13437308622079</x:v>
      </x:c>
      <x:c r="K72" s="34" t="n">
        <x:f>'直接配方'!$F$80*K37+'直接配方'!$F$81*K49+'直接配方'!$F$82*K38+'直接配方'!$F$83*K35+'直接配方'!$F$84*K27+'直接配方'!$F$85*K29</x:f>
        <x:v>0</x:v>
      </x:c>
      <x:c r="L72" s="34" t="n">
        <x:f>'直接配方'!$F$80*L37+'直接配方'!$F$81*L49+'直接配方'!$F$82*L38+'直接配方'!$F$83*L35+'直接配方'!$F$84*L27+'直接配方'!$F$85*L29</x:f>
        <x:v>0</x:v>
      </x:c>
      <x:c r="M72" s="34" t="n">
        <x:f>'直接配方'!$F$80*M37+'直接配方'!$F$81*M49+'直接配方'!$F$82*M38+'直接配方'!$F$83*M35+'直接配方'!$F$84*M27+'直接配方'!$F$85*M29</x:f>
        <x:v>0</x:v>
      </x:c>
      <x:c r="N72" s="34" t="n">
        <x:f>'直接配方'!$F$80*N37+'直接配方'!$F$81*N49+'直接配方'!$F$82*N38+'直接配方'!$F$83*N35+'直接配方'!$F$84*N27+'直接配方'!$F$85*N29</x:f>
        <x:v>0</x:v>
      </x:c>
      <x:c r="O72" s="34" t="n">
        <x:f>'直接配方'!$F$80*O37+'直接配方'!$F$81*O49+'直接配方'!$F$82*O38+'直接配方'!$F$83*O35+'直接配方'!$F$84*O27+'直接配方'!$F$85*O29</x:f>
        <x:v>0</x:v>
      </x:c>
      <x:c r="P72" s="34" t="n">
        <x:f>'直接配方'!$F$80*P37+'直接配方'!$F$81*P49+'直接配方'!$F$82*P38+'直接配方'!$F$83*P35+'直接配方'!$F$84*P27+'直接配方'!$F$85*P29</x:f>
        <x:v>0</x:v>
      </x:c>
      <x:c r="Q72" s="34" t="n">
        <x:f>'直接配方'!$F$80*Q37+'直接配方'!$F$81*Q49+'直接配方'!$F$82*Q38+'直接配方'!$F$83*Q35+'直接配方'!$F$84*Q27+'直接配方'!$F$85*Q29</x:f>
        <x:v>0.6258851855348881</x:v>
      </x:c>
      <x:c r="R72" s="34" t="n">
        <x:f>'直接配方'!$F$80*R37+'直接配方'!$F$81*R49+'直接配方'!$F$82*R38+'直接配方'!$F$83*R35+'直接配方'!$F$84*R27+'直接配方'!$F$85*R29</x:f>
        <x:v>0</x:v>
      </x:c>
      <x:c r="S72" s="34" t="n">
        <x:f>'直接配方'!$F$80*S37+'直接配方'!$F$81*S49+'直接配方'!$F$82*S38+'直接配方'!$F$83*S35+'直接配方'!$F$84*S27+'直接配方'!$F$85*S29</x:f>
        <x:v>0</x:v>
      </x:c>
      <x:c r="T72" s="34" t="n">
        <x:f>'直接配方'!$F$80*T37+'直接配方'!$F$81*T49+'直接配方'!$F$82*T38+'直接配方'!$F$83*T35+'直接配方'!$F$84*T27+'直接配方'!$F$85*T29</x:f>
        <x:v>0</x:v>
      </x:c>
      <x:c r="U72" s="34" t="n">
        <x:f>'直接配方'!$F$80*U37+'直接配方'!$F$81*U49+'直接配方'!$F$82*U38+'直接配方'!$F$83*U35+'直接配方'!$F$84*U27+'直接配方'!$F$85*U29</x:f>
        <x:v>0</x:v>
      </x:c>
      <x:c r="V72" s="34" t="n">
        <x:f>'直接配方'!$F$80*V37+'直接配方'!$F$81*V49+'直接配方'!$F$82*V38+'直接配方'!$F$83*V35+'直接配方'!$F$84*V27+'直接配方'!$F$85*V29</x:f>
        <x:v>0</x:v>
      </x:c>
      <x:c r="W72" s="34" t="n">
        <x:f>'直接配方'!$F$80*W37+'直接配方'!$F$81*W49+'直接配方'!$F$82*W38+'直接配方'!$F$83*W35+'直接配方'!$F$84*W27+'直接配方'!$F$85*W29</x:f>
        <x:v>0</x:v>
      </x:c>
      <x:c r="X72" s="34" t="n">
        <x:f>'直接配方'!$F$80*X37+'直接配方'!$F$81*X49+'直接配方'!$F$82*X38+'直接配方'!$F$83*X35+'直接配方'!$F$84*X27+'直接配方'!$F$85*X29</x:f>
        <x:v>0</x:v>
      </x:c>
      <x:c r="Y72" s="34" t="n">
        <x:f>'直接配方'!$F$80*Y37+'直接配方'!$F$81*Y49+'直接配方'!$F$82*Y38+'直接配方'!$F$83*Y35+'直接配方'!$F$84*Y27+'直接配方'!$F$85*Y29</x:f>
        <x:v>0.2</x:v>
      </x:c>
      <x:c r="Z72" s="34" t="n">
        <x:f>'直接配方'!$F$80*Z37+'直接配方'!$F$81*Z49+'直接配方'!$F$82*Z38+'直接配方'!$F$83*Z35+'直接配方'!$F$84*Z27+'直接配方'!$F$85*Z29</x:f>
        <x:v>0</x:v>
      </x:c>
      <x:c r="AA72" s="34" t="n">
        <x:f>'直接配方'!$F$80*AA37+'直接配方'!$F$81*AA49+'直接配方'!$F$82*AA38+'直接配方'!$F$83*AA35+'直接配方'!$F$84*AA27+'直接配方'!$F$85*AA29</x:f>
        <x:v>0.1</x:v>
      </x:c>
      <x:c r="AB72" s="34" t="n">
        <x:f>'直接配方'!$F$80*AB37+'直接配方'!$F$81*AB49+'直接配方'!$F$82*AB38+'直接配方'!$F$83*AB35+'直接配方'!$F$84*AB27+'直接配方'!$F$85*AB29</x:f>
        <x:v>0</x:v>
      </x:c>
      <x:c r="AC72" s="34" t="n">
        <x:f>'直接配方'!$F$80*AC37+'直接配方'!$F$81*AC49+'直接配方'!$F$82*AC38+'直接配方'!$F$83*AC35+'直接配方'!$F$84*AC27+'直接配方'!$F$85*AC29</x:f>
        <x:v>0</x:v>
      </x:c>
    </x:row>
    <x:row r="73" ht="40" customHeight="1">
      <x:c r="A73" s="22" t="str">
        <x:v>I15</x:v>
      </x:c>
      <x:c r="B73" s="22" t="str">
        <x:v>机加工设备套件</x:v>
      </x:c>
      <x:c r="C73" s="22" t="str">
        <x:v>套（名义1kW主驱动）</x:v>
      </x:c>
      <x:c r="D73" s="34" t="n">
        <x:f>'直接配方'!$F$86*D37+'直接配方'!$F$87*D38+'直接配方'!$F$88*D49+'直接配方'!$F$89*D52+'直接配方'!$F$90*D27+'直接配方'!$F$91*D28</x:f>
        <x:v>53.59498246817011</x:v>
      </x:c>
      <x:c r="E73" s="34" t="n">
        <x:f>'直接配方'!$F$86*E37+'直接配方'!$F$87*E38+'直接配方'!$F$88*E49+'直接配方'!$F$89*E52+'直接配方'!$F$90*E27+'直接配方'!$F$91*E28</x:f>
        <x:v>3.8702607944808465</x:v>
      </x:c>
      <x:c r="F73" s="34" t="n">
        <x:f>'直接配方'!$F$86*F37+'直接配方'!$F$87*F38+'直接配方'!$F$88*F49+'直接配方'!$F$89*F52+'直接配方'!$F$90*F27+'直接配方'!$F$91*F28</x:f>
        <x:v>0</x:v>
      </x:c>
      <x:c r="G73" s="34" t="n">
        <x:f>'直接配方'!$F$86*G37+'直接配方'!$F$87*G38+'直接配方'!$F$88*G49+'直接配方'!$F$89*G52+'直接配方'!$F$90*G27+'直接配方'!$F$91*G28</x:f>
        <x:v>0</x:v>
      </x:c>
      <x:c r="H73" s="34" t="n">
        <x:f>'直接配方'!$F$86*H37+'直接配方'!$F$87*H38+'直接配方'!$F$88*H49+'直接配方'!$F$89*H52+'直接配方'!$F$90*H27+'直接配方'!$F$91*H28</x:f>
        <x:v>2.2222222222222223</x:v>
      </x:c>
      <x:c r="I73" s="34" t="n">
        <x:f>'直接配方'!$F$86*I37+'直接配方'!$F$87*I38+'直接配方'!$F$88*I49+'直接配方'!$F$89*I52+'直接配方'!$F$90*I27+'直接配方'!$F$91*I28</x:f>
        <x:v>0</x:v>
      </x:c>
      <x:c r="J73" s="34" t="n">
        <x:f>'直接配方'!$F$86*J37+'直接配方'!$F$87*J38+'直接配方'!$F$88*J49+'直接配方'!$F$89*J52+'直接配方'!$F$90*J27+'直接配方'!$F$91*J28</x:f>
        <x:v>142.6874617244158</x:v>
      </x:c>
      <x:c r="K73" s="34" t="n">
        <x:f>'直接配方'!$F$86*K37+'直接配方'!$F$87*K38+'直接配方'!$F$88*K49+'直接配方'!$F$89*K52+'直接配方'!$F$90*K27+'直接配方'!$F$91*K28</x:f>
        <x:v>0</x:v>
      </x:c>
      <x:c r="L73" s="34" t="n">
        <x:f>'直接配方'!$F$86*L37+'直接配方'!$F$87*L38+'直接配方'!$F$88*L49+'直接配方'!$F$89*L52+'直接配方'!$F$90*L27+'直接配方'!$F$91*L28</x:f>
        <x:v>0</x:v>
      </x:c>
      <x:c r="M73" s="34" t="n">
        <x:f>'直接配方'!$F$86*M37+'直接配方'!$F$87*M38+'直接配方'!$F$88*M49+'直接配方'!$F$89*M52+'直接配方'!$F$90*M27+'直接配方'!$F$91*M28</x:f>
        <x:v>0</x:v>
      </x:c>
      <x:c r="N73" s="34" t="n">
        <x:f>'直接配方'!$F$86*N37+'直接配方'!$F$87*N38+'直接配方'!$F$88*N49+'直接配方'!$F$89*N52+'直接配方'!$F$90*N27+'直接配方'!$F$91*N28</x:f>
        <x:v>0</x:v>
      </x:c>
      <x:c r="O73" s="34" t="n">
        <x:f>'直接配方'!$F$86*O37+'直接配方'!$F$87*O38+'直接配方'!$F$88*O49+'直接配方'!$F$89*O52+'直接配方'!$F$90*O27+'直接配方'!$F$91*O28</x:f>
        <x:v>0</x:v>
      </x:c>
      <x:c r="P73" s="34" t="n">
        <x:f>'直接配方'!$F$86*P37+'直接配方'!$F$87*P38+'直接配方'!$F$88*P49+'直接配方'!$F$89*P52+'直接配方'!$F$90*P27+'直接配方'!$F$91*P28</x:f>
        <x:v>0</x:v>
      </x:c>
      <x:c r="Q73" s="34" t="n">
        <x:f>'直接配方'!$F$86*Q37+'直接配方'!$F$87*Q38+'直接配方'!$F$88*Q49+'直接配方'!$F$89*Q52+'直接配方'!$F$90*Q27+'直接配方'!$F$91*Q28</x:f>
        <x:v>3.755311113209329</x:v>
      </x:c>
      <x:c r="R73" s="34" t="n">
        <x:f>'直接配方'!$F$86*R37+'直接配方'!$F$87*R38+'直接配方'!$F$88*R49+'直接配方'!$F$89*R52+'直接配方'!$F$90*R27+'直接配方'!$F$91*R28</x:f>
        <x:v>0</x:v>
      </x:c>
      <x:c r="S73" s="34" t="n">
        <x:f>'直接配方'!$F$86*S37+'直接配方'!$F$87*S38+'直接配方'!$F$88*S49+'直接配方'!$F$89*S52+'直接配方'!$F$90*S27+'直接配方'!$F$91*S28</x:f>
        <x:v>0</x:v>
      </x:c>
      <x:c r="T73" s="34" t="n">
        <x:f>'直接配方'!$F$86*T37+'直接配方'!$F$87*T38+'直接配方'!$F$88*T49+'直接配方'!$F$89*T52+'直接配方'!$F$90*T27+'直接配方'!$F$91*T28</x:f>
        <x:v>0</x:v>
      </x:c>
      <x:c r="U73" s="34" t="n">
        <x:f>'直接配方'!$F$86*U37+'直接配方'!$F$87*U38+'直接配方'!$F$88*U49+'直接配方'!$F$89*U52+'直接配方'!$F$90*U27+'直接配方'!$F$91*U28</x:f>
        <x:v>0</x:v>
      </x:c>
      <x:c r="V73" s="34" t="n">
        <x:f>'直接配方'!$F$86*V37+'直接配方'!$F$87*V38+'直接配方'!$F$88*V49+'直接配方'!$F$89*V52+'直接配方'!$F$90*V27+'直接配方'!$F$91*V28</x:f>
        <x:v>0</x:v>
      </x:c>
      <x:c r="W73" s="34" t="n">
        <x:f>'直接配方'!$F$86*W37+'直接配方'!$F$87*W38+'直接配方'!$F$88*W49+'直接配方'!$F$89*W52+'直接配方'!$F$90*W27+'直接配方'!$F$91*W28</x:f>
        <x:v>0</x:v>
      </x:c>
      <x:c r="X73" s="34" t="n">
        <x:f>'直接配方'!$F$86*X37+'直接配方'!$F$87*X38+'直接配方'!$F$88*X49+'直接配方'!$F$89*X52+'直接配方'!$F$90*X27+'直接配方'!$F$91*X28</x:f>
        <x:v>0</x:v>
      </x:c>
      <x:c r="Y73" s="34" t="n">
        <x:f>'直接配方'!$F$86*Y37+'直接配方'!$F$87*Y38+'直接配方'!$F$88*Y49+'直接配方'!$F$89*Y52+'直接配方'!$F$90*Y27+'直接配方'!$F$91*Y28</x:f>
        <x:v>2</x:v>
      </x:c>
      <x:c r="Z73" s="34" t="n">
        <x:f>'直接配方'!$F$86*Z37+'直接配方'!$F$87*Z38+'直接配方'!$F$88*Z49+'直接配方'!$F$89*Z52+'直接配方'!$F$90*Z27+'直接配方'!$F$91*Z28</x:f>
        <x:v>1</x:v>
      </x:c>
      <x:c r="AA73" s="34" t="n">
        <x:f>'直接配方'!$F$86*AA37+'直接配方'!$F$87*AA38+'直接配方'!$F$88*AA49+'直接配方'!$F$89*AA52+'直接配方'!$F$90*AA27+'直接配方'!$F$91*AA28</x:f>
        <x:v>0</x:v>
      </x:c>
      <x:c r="AB73" s="34" t="n">
        <x:f>'直接配方'!$F$86*AB37+'直接配方'!$F$87*AB38+'直接配方'!$F$88*AB49+'直接配方'!$F$89*AB52+'直接配方'!$F$90*AB27+'直接配方'!$F$91*AB28</x:f>
        <x:v>0</x:v>
      </x:c>
      <x:c r="AC73" s="34" t="n">
        <x:f>'直接配方'!$F$86*AC37+'直接配方'!$F$87*AC38+'直接配方'!$F$88*AC49+'直接配方'!$F$89*AC52+'直接配方'!$F$90*AC27+'直接配方'!$F$91*AC28</x:f>
        <x:v>0</x:v>
      </x:c>
    </x:row>
    <x:row r="74" ht="40" customHeight="1">
      <x:c r="A74" s="22" t="str">
        <x:v>I16</x:v>
      </x:c>
      <x:c r="B74" s="22" t="str">
        <x:v>净水设备套件</x:v>
      </x:c>
      <x:c r="C74" s="22" t="str">
        <x:v>套（名义1m³/日）</x:v>
      </x:c>
      <x:c r="D74" s="34" t="n">
        <x:f>'直接配方'!$F$92*D37+'直接配方'!$F$93*D46+'直接配方'!$F$94*D48+'直接配方'!$F$95*D38+'直接配方'!$F$96*D51+'直接配方'!$F$97*D29+'直接配方'!$F$98*D27</x:f>
        <x:v>30.29820332596058</x:v>
      </x:c>
      <x:c r="E74" s="34" t="n">
        <x:f>'直接配方'!$F$92*E37+'直接配方'!$F$93*E46+'直接配方'!$F$94*E48+'直接配方'!$F$95*E38+'直接配方'!$F$96*E51+'直接配方'!$F$97*E29+'直接配方'!$F$98*E27</x:f>
        <x:v>16.783378157568</x:v>
      </x:c>
      <x:c r="F74" s="34" t="n">
        <x:f>'直接配方'!$F$92*F37+'直接配方'!$F$93*F46+'直接配方'!$F$94*F48+'直接配方'!$F$95*F38+'直接配方'!$F$96*F51+'直接配方'!$F$97*F29+'直接配方'!$F$98*F27</x:f>
        <x:v>0</x:v>
      </x:c>
      <x:c r="G74" s="34" t="n">
        <x:f>'直接配方'!$F$92*G37+'直接配方'!$F$93*G46+'直接配方'!$F$94*G48+'直接配方'!$F$95*G38+'直接配方'!$F$96*G51+'直接配方'!$F$97*G29+'直接配方'!$F$98*G27</x:f>
        <x:v>0</x:v>
      </x:c>
      <x:c r="H74" s="34" t="n">
        <x:f>'直接配方'!$F$92*H37+'直接配方'!$F$93*H46+'直接配方'!$F$94*H48+'直接配方'!$F$95*H38+'直接配方'!$F$96*H51+'直接配方'!$F$97*H29+'直接配方'!$F$98*H27</x:f>
        <x:v>0</x:v>
      </x:c>
      <x:c r="I74" s="34" t="n">
        <x:f>'直接配方'!$F$92*I37+'直接配方'!$F$93*I46+'直接配方'!$F$94*I48+'直接配方'!$F$95*I38+'直接配方'!$F$96*I51+'直接配方'!$F$97*I29+'直接配方'!$F$98*I27</x:f>
        <x:v>1.4767300766683276</x:v>
      </x:c>
      <x:c r="J74" s="34" t="n">
        <x:f>'直接配方'!$F$92*J37+'直接配方'!$F$93*J46+'直接配方'!$F$94*J48+'直接配方'!$F$95*J38+'直接配方'!$F$96*J51+'直接配方'!$F$97*J29+'直接配方'!$F$98*J27</x:f>
        <x:v>28.53749234488316</x:v>
      </x:c>
      <x:c r="K74" s="34" t="n">
        <x:f>'直接配方'!$F$92*K37+'直接配方'!$F$93*K46+'直接配方'!$F$94*K48+'直接配方'!$F$95*K38+'直接配方'!$F$96*K51+'直接配方'!$F$97*K29+'直接配方'!$F$98*K27</x:f>
        <x:v>0</x:v>
      </x:c>
      <x:c r="L74" s="34" t="n">
        <x:f>'直接配方'!$F$92*L37+'直接配方'!$F$93*L46+'直接配方'!$F$94*L48+'直接配方'!$F$95*L38+'直接配方'!$F$96*L51+'直接配方'!$F$97*L29+'直接配方'!$F$98*L27</x:f>
        <x:v>0</x:v>
      </x:c>
      <x:c r="M74" s="34" t="n">
        <x:f>'直接配方'!$F$92*M37+'直接配方'!$F$93*M46+'直接配方'!$F$94*M48+'直接配方'!$F$95*M38+'直接配方'!$F$96*M51+'直接配方'!$F$97*M29+'直接配方'!$F$98*M27</x:f>
        <x:v>0</x:v>
      </x:c>
      <x:c r="N74" s="34" t="n">
        <x:f>'直接配方'!$F$92*N37+'直接配方'!$F$93*N46+'直接配方'!$F$94*N48+'直接配方'!$F$95*N38+'直接配方'!$F$96*N51+'直接配方'!$F$97*N29+'直接配方'!$F$98*N27</x:f>
        <x:v>0</x:v>
      </x:c>
      <x:c r="O74" s="34" t="n">
        <x:f>'直接配方'!$F$92*O37+'直接配方'!$F$93*O46+'直接配方'!$F$94*O48+'直接配方'!$F$95*O38+'直接配方'!$F$96*O51+'直接配方'!$F$97*O29+'直接配方'!$F$98*O27</x:f>
        <x:v>0</x:v>
      </x:c>
      <x:c r="P74" s="34" t="n">
        <x:f>'直接配方'!$F$92*P37+'直接配方'!$F$93*P46+'直接配方'!$F$94*P48+'直接配方'!$F$95*P38+'直接配方'!$F$96*P51+'直接配方'!$F$97*P29+'直接配方'!$F$98*P27</x:f>
        <x:v>0</x:v>
      </x:c>
      <x:c r="Q74" s="34" t="n">
        <x:f>'直接配方'!$F$92*Q37+'直接配方'!$F$93*Q46+'直接配方'!$F$94*Q48+'直接配方'!$F$95*Q38+'直接配方'!$F$96*Q51+'直接配方'!$F$97*Q29+'直接配方'!$F$98*Q27</x:f>
        <x:v>1.2517703710697763</x:v>
      </x:c>
      <x:c r="R74" s="34" t="n">
        <x:f>'直接配方'!$F$92*R37+'直接配方'!$F$93*R46+'直接配方'!$F$94*R48+'直接配方'!$F$95*R38+'直接配方'!$F$96*R51+'直接配方'!$F$97*R29+'直接配方'!$F$98*R27</x:f>
        <x:v>0</x:v>
      </x:c>
      <x:c r="S74" s="34" t="n">
        <x:f>'直接配方'!$F$92*S37+'直接配方'!$F$93*S46+'直接配方'!$F$94*S48+'直接配方'!$F$95*S38+'直接配方'!$F$96*S51+'直接配方'!$F$97*S29+'直接配方'!$F$98*S27</x:f>
        <x:v>0</x:v>
      </x:c>
      <x:c r="T74" s="34" t="n">
        <x:f>'直接配方'!$F$92*T37+'直接配方'!$F$93*T46+'直接配方'!$F$94*T48+'直接配方'!$F$95*T38+'直接配方'!$F$96*T51+'直接配方'!$F$97*T29+'直接配方'!$F$98*T27</x:f>
        <x:v>0</x:v>
      </x:c>
      <x:c r="U74" s="34" t="n">
        <x:f>'直接配方'!$F$92*U37+'直接配方'!$F$93*U46+'直接配方'!$F$94*U48+'直接配方'!$F$95*U38+'直接配方'!$F$96*U51+'直接配方'!$F$97*U29+'直接配方'!$F$98*U27</x:f>
        <x:v>0</x:v>
      </x:c>
      <x:c r="V74" s="34" t="n">
        <x:f>'直接配方'!$F$92*V37+'直接配方'!$F$93*V46+'直接配方'!$F$94*V48+'直接配方'!$F$95*V38+'直接配方'!$F$96*V51+'直接配方'!$F$97*V29+'直接配方'!$F$98*V27</x:f>
        <x:v>0</x:v>
      </x:c>
      <x:c r="W74" s="34" t="n">
        <x:f>'直接配方'!$F$92*W37+'直接配方'!$F$93*W46+'直接配方'!$F$94*W48+'直接配方'!$F$95*W38+'直接配方'!$F$96*W51+'直接配方'!$F$97*W29+'直接配方'!$F$98*W27</x:f>
        <x:v>0</x:v>
      </x:c>
      <x:c r="X74" s="34" t="n">
        <x:f>'直接配方'!$F$92*X37+'直接配方'!$F$93*X46+'直接配方'!$F$94*X48+'直接配方'!$F$95*X38+'直接配方'!$F$96*X51+'直接配方'!$F$97*X29+'直接配方'!$F$98*X27</x:f>
        <x:v>0</x:v>
      </x:c>
      <x:c r="Y74" s="34" t="n">
        <x:f>'直接配方'!$F$92*Y37+'直接配方'!$F$93*Y46+'直接配方'!$F$94*Y48+'直接配方'!$F$95*Y38+'直接配方'!$F$96*Y51+'直接配方'!$F$97*Y29+'直接配方'!$F$98*Y27</x:f>
        <x:v>0.5</x:v>
      </x:c>
      <x:c r="Z74" s="34" t="n">
        <x:f>'直接配方'!$F$92*Z37+'直接配方'!$F$93*Z46+'直接配方'!$F$94*Z48+'直接配方'!$F$95*Z38+'直接配方'!$F$96*Z51+'直接配方'!$F$97*Z29+'直接配方'!$F$98*Z27</x:f>
        <x:v>0</x:v>
      </x:c>
      <x:c r="AA74" s="34" t="n">
        <x:f>'直接配方'!$F$92*AA37+'直接配方'!$F$93*AA46+'直接配方'!$F$94*AA48+'直接配方'!$F$95*AA38+'直接配方'!$F$96*AA51+'直接配方'!$F$97*AA29+'直接配方'!$F$98*AA27</x:f>
        <x:v>0.2</x:v>
      </x:c>
      <x:c r="AB74" s="34" t="n">
        <x:f>'直接配方'!$F$92*AB37+'直接配方'!$F$93*AB46+'直接配方'!$F$94*AB48+'直接配方'!$F$95*AB38+'直接配方'!$F$96*AB51+'直接配方'!$F$97*AB29+'直接配方'!$F$98*AB27</x:f>
        <x:v>0</x:v>
      </x:c>
      <x:c r="AC74" s="34" t="n">
        <x:f>'直接配方'!$F$92*AC37+'直接配方'!$F$93*AC46+'直接配方'!$F$94*AC48+'直接配方'!$F$95*AC38+'直接配方'!$F$96*AC51+'直接配方'!$F$97*AC29+'直接配方'!$F$98*AC27</x:f>
        <x:v>0</x:v>
      </x:c>
    </x:row>
    <x:row r="75" ht="40" customHeight="1">
      <x:c r="A75" s="22" t="str">
        <x:v>I17</x:v>
      </x:c>
      <x:c r="B75" s="22" t="str">
        <x:v>气体处理设备套件</x:v>
      </x:c>
      <x:c r="C75" s="22" t="str">
        <x:v>套（名义1kg CO₂/小时）</x:v>
      </x:c>
      <x:c r="D75" s="34" t="n">
        <x:f>'直接配方'!$F$99*D37+'直接配方'!$F$100*D38+'直接配方'!$F$101*D48+'直接配方'!$F$102*D11+'直接配方'!$F$103*D51+'直接配方'!$F$104*D29+'直接配方'!$F$105*D27</x:f>
        <x:v>11.317066252125802</x:v>
      </x:c>
      <x:c r="E75" s="34" t="n">
        <x:f>'直接配方'!$F$99*E37+'直接配方'!$F$100*E38+'直接配方'!$F$101*E48+'直接配方'!$F$102*E11+'直接配方'!$F$103*E51+'直接配方'!$F$104*E29+'直接配方'!$F$105*E27</x:f>
        <x:v>1.096132132045791</x:v>
      </x:c>
      <x:c r="F75" s="34" t="n">
        <x:f>'直接配方'!$F$99*F37+'直接配方'!$F$100*F38+'直接配方'!$F$101*F48+'直接配方'!$F$102*F11+'直接配方'!$F$103*F51+'直接配方'!$F$104*F29+'直接配方'!$F$105*F27</x:f>
        <x:v>0</x:v>
      </x:c>
      <x:c r="G75" s="34" t="n">
        <x:f>'直接配方'!$F$99*G37+'直接配方'!$F$100*G38+'直接配方'!$F$101*G48+'直接配方'!$F$102*G11+'直接配方'!$F$103*G51+'直接配方'!$F$104*G29+'直接配方'!$F$105*G27</x:f>
        <x:v>0</x:v>
      </x:c>
      <x:c r="H75" s="34" t="n">
        <x:f>'直接配方'!$F$99*H37+'直接配方'!$F$100*H38+'直接配方'!$F$101*H48+'直接配方'!$F$102*H11+'直接配方'!$F$103*H51+'直接配方'!$F$104*H29+'直接配方'!$F$105*H27</x:f>
        <x:v>0</x:v>
      </x:c>
      <x:c r="I75" s="34" t="n">
        <x:f>'直接配方'!$F$99*I37+'直接配方'!$F$100*I38+'直接配方'!$F$101*I48+'直接配方'!$F$102*I11+'直接配方'!$F$103*I51+'直接配方'!$F$104*I29+'直接配方'!$F$105*I27</x:f>
        <x:v>4.529361655615696</x:v>
      </x:c>
      <x:c r="J75" s="34" t="n">
        <x:f>'直接配方'!$F$99*J37+'直接配方'!$F$100*J38+'直接配方'!$F$101*J48+'直接配方'!$F$102*J11+'直接配方'!$F$103*J51+'直接配方'!$F$104*J29+'直接配方'!$F$105*J27</x:f>
        <x:v>28.53749234488316</x:v>
      </x:c>
      <x:c r="K75" s="34" t="n">
        <x:f>'直接配方'!$F$99*K37+'直接配方'!$F$100*K38+'直接配方'!$F$101*K48+'直接配方'!$F$102*K11+'直接配方'!$F$103*K51+'直接配方'!$F$104*K29+'直接配方'!$F$105*K27</x:f>
        <x:v>0</x:v>
      </x:c>
      <x:c r="L75" s="34" t="n">
        <x:f>'直接配方'!$F$99*L37+'直接配方'!$F$100*L38+'直接配方'!$F$101*L48+'直接配方'!$F$102*L11+'直接配方'!$F$103*L51+'直接配方'!$F$104*L29+'直接配方'!$F$105*L27</x:f>
        <x:v>0</x:v>
      </x:c>
      <x:c r="M75" s="34" t="n">
        <x:f>'直接配方'!$F$99*M37+'直接配方'!$F$100*M38+'直接配方'!$F$101*M48+'直接配方'!$F$102*M11+'直接配方'!$F$103*M51+'直接配方'!$F$104*M29+'直接配方'!$F$105*M27</x:f>
        <x:v>0</x:v>
      </x:c>
      <x:c r="N75" s="34" t="n">
        <x:f>'直接配方'!$F$99*N37+'直接配方'!$F$100*N38+'直接配方'!$F$101*N48+'直接配方'!$F$102*N11+'直接配方'!$F$103*N51+'直接配方'!$F$104*N29+'直接配方'!$F$105*N27</x:f>
        <x:v>0</x:v>
      </x:c>
      <x:c r="O75" s="34" t="n">
        <x:f>'直接配方'!$F$99*O37+'直接配方'!$F$100*O38+'直接配方'!$F$101*O48+'直接配方'!$F$102*O11+'直接配方'!$F$103*O51+'直接配方'!$F$104*O29+'直接配方'!$F$105*O27</x:f>
        <x:v>0</x:v>
      </x:c>
      <x:c r="P75" s="34" t="n">
        <x:f>'直接配方'!$F$99*P37+'直接配方'!$F$100*P38+'直接配方'!$F$101*P48+'直接配方'!$F$102*P11+'直接配方'!$F$103*P51+'直接配方'!$F$104*P29+'直接配方'!$F$105*P27</x:f>
        <x:v>0</x:v>
      </x:c>
      <x:c r="Q75" s="34" t="n">
        <x:f>'直接配方'!$F$99*Q37+'直接配方'!$F$100*Q38+'直接配方'!$F$101*Q48+'直接配方'!$F$102*Q11+'直接配方'!$F$103*Q51+'直接配方'!$F$104*Q29+'直接配方'!$F$105*Q27</x:f>
        <x:v>2.5035407421395526</x:v>
      </x:c>
      <x:c r="R75" s="34" t="n">
        <x:f>'直接配方'!$F$99*R37+'直接配方'!$F$100*R38+'直接配方'!$F$101*R48+'直接配方'!$F$102*R11+'直接配方'!$F$103*R51+'直接配方'!$F$104*R29+'直接配方'!$F$105*R27</x:f>
        <x:v>0</x:v>
      </x:c>
      <x:c r="S75" s="34" t="n">
        <x:f>'直接配方'!$F$99*S37+'直接配方'!$F$100*S38+'直接配方'!$F$101*S48+'直接配方'!$F$102*S11+'直接配方'!$F$103*S51+'直接配方'!$F$104*S29+'直接配方'!$F$105*S27</x:f>
        <x:v>0</x:v>
      </x:c>
      <x:c r="T75" s="34" t="n">
        <x:f>'直接配方'!$F$99*T37+'直接配方'!$F$100*T38+'直接配方'!$F$101*T48+'直接配方'!$F$102*T11+'直接配方'!$F$103*T51+'直接配方'!$F$104*T29+'直接配方'!$F$105*T27</x:f>
        <x:v>0</x:v>
      </x:c>
      <x:c r="U75" s="34" t="n">
        <x:f>'直接配方'!$F$99*U37+'直接配方'!$F$100*U38+'直接配方'!$F$101*U48+'直接配方'!$F$102*U11+'直接配方'!$F$103*U51+'直接配方'!$F$104*U29+'直接配方'!$F$105*U27</x:f>
        <x:v>0</x:v>
      </x:c>
      <x:c r="V75" s="34" t="n">
        <x:f>'直接配方'!$F$99*V37+'直接配方'!$F$100*V38+'直接配方'!$F$101*V48+'直接配方'!$F$102*V11+'直接配方'!$F$103*V51+'直接配方'!$F$104*V29+'直接配方'!$F$105*V27</x:f>
        <x:v>0</x:v>
      </x:c>
      <x:c r="W75" s="34" t="n">
        <x:f>'直接配方'!$F$99*W37+'直接配方'!$F$100*W38+'直接配方'!$F$101*W48+'直接配方'!$F$102*W11+'直接配方'!$F$103*W51+'直接配方'!$F$104*W29+'直接配方'!$F$105*W27</x:f>
        <x:v>0</x:v>
      </x:c>
      <x:c r="X75" s="34" t="n">
        <x:f>'直接配方'!$F$99*X37+'直接配方'!$F$100*X38+'直接配方'!$F$101*X48+'直接配方'!$F$102*X11+'直接配方'!$F$103*X51+'直接配方'!$F$104*X29+'直接配方'!$F$105*X27</x:f>
        <x:v>0</x:v>
      </x:c>
      <x:c r="Y75" s="34" t="n">
        <x:f>'直接配方'!$F$99*Y37+'直接配方'!$F$100*Y38+'直接配方'!$F$101*Y48+'直接配方'!$F$102*Y11+'直接配方'!$F$103*Y51+'直接配方'!$F$104*Y29+'直接配方'!$F$105*Y27</x:f>
        <x:v>0.5</x:v>
      </x:c>
      <x:c r="Z75" s="34" t="n">
        <x:f>'直接配方'!$F$99*Z37+'直接配方'!$F$100*Z38+'直接配方'!$F$101*Z48+'直接配方'!$F$102*Z11+'直接配方'!$F$103*Z51+'直接配方'!$F$104*Z29+'直接配方'!$F$105*Z27</x:f>
        <x:v>0</x:v>
      </x:c>
      <x:c r="AA75" s="34" t="n">
        <x:f>'直接配方'!$F$99*AA37+'直接配方'!$F$100*AA38+'直接配方'!$F$101*AA48+'直接配方'!$F$102*AA11+'直接配方'!$F$103*AA51+'直接配方'!$F$104*AA29+'直接配方'!$F$105*AA27</x:f>
        <x:v>1</x:v>
      </x:c>
      <x:c r="AB75" s="34" t="n">
        <x:f>'直接配方'!$F$99*AB37+'直接配方'!$F$100*AB38+'直接配方'!$F$101*AB48+'直接配方'!$F$102*AB11+'直接配方'!$F$103*AB51+'直接配方'!$F$104*AB29+'直接配方'!$F$105*AB27</x:f>
        <x:v>0</x:v>
      </x:c>
      <x:c r="AC75" s="34" t="n">
        <x:f>'直接配方'!$F$99*AC37+'直接配方'!$F$100*AC38+'直接配方'!$F$101*AC48+'直接配方'!$F$102*AC11+'直接配方'!$F$103*AC51+'直接配方'!$F$104*AC29+'直接配方'!$F$105*AC27</x:f>
        <x:v>0</x:v>
      </x:c>
    </x:row>
    <x:row r="76" ht="40" customHeight="1">
      <x:c r="A76" s="22" t="str">
        <x:v>I18</x:v>
      </x:c>
      <x:c r="B76" s="22" t="str">
        <x:v>居住/厂房围护构件套件</x:v>
      </x:c>
      <x:c r="C76" s="22" t="str">
        <x:v>m²围护面</x:v>
      </x:c>
      <x:c r="D76" s="34" t="n">
        <x:f>'直接配方'!$F$106*D37+'直接配方'!$F$107*D48+'直接配方'!$F$108*D50+'直接配方'!$F$109*D46+'直接配方'!$F$110*D51+'直接配方'!$F$111*D28</x:f>
        <x:v>14.01994502811573</x:v>
      </x:c>
      <x:c r="E76" s="34" t="n">
        <x:f>'直接配方'!$F$106*E37+'直接配方'!$F$107*E48+'直接配方'!$F$108*E50+'直接配方'!$F$109*E46+'直接配方'!$F$110*E51+'直接配方'!$F$111*E28</x:f>
        <x:v>3.6638394486479267</x:v>
      </x:c>
      <x:c r="F76" s="34" t="n">
        <x:f>'直接配方'!$F$106*F37+'直接配方'!$F$107*F48+'直接配方'!$F$108*F50+'直接配方'!$F$109*F46+'直接配方'!$F$110*F51+'直接配方'!$F$111*F28</x:f>
        <x:v>0</x:v>
      </x:c>
      <x:c r="G76" s="34" t="n">
        <x:f>'直接配方'!$F$106*G37+'直接配方'!$F$107*G48+'直接配方'!$F$108*G50+'直接配方'!$F$109*G46+'直接配方'!$F$110*G51+'直接配方'!$F$111*G28</x:f>
        <x:v>0</x:v>
      </x:c>
      <x:c r="H76" s="34" t="n">
        <x:f>'直接配方'!$F$106*H37+'直接配方'!$F$107*H48+'直接配方'!$F$108*H50+'直接配方'!$F$109*H46+'直接配方'!$F$110*H51+'直接配方'!$F$111*H28</x:f>
        <x:v>5.555555555555555</x:v>
      </x:c>
      <x:c r="I76" s="34" t="n">
        <x:f>'直接配方'!$F$106*I37+'直接配方'!$F$107*I48+'直接配方'!$F$108*I50+'直接配方'!$F$109*I46+'直接配方'!$F$110*I51+'直接配方'!$F$111*I28</x:f>
        <x:v>11.748586767509435</x:v>
      </x:c>
      <x:c r="J76" s="34" t="n">
        <x:f>'直接配方'!$F$106*J37+'直接配方'!$F$107*J48+'直接配方'!$F$108*J50+'直接配方'!$F$109*J46+'直接配方'!$F$110*J51+'直接配方'!$F$111*J28</x:f>
        <x:v>28.53749234488316</x:v>
      </x:c>
      <x:c r="K76" s="34" t="n">
        <x:f>'直接配方'!$F$106*K37+'直接配方'!$F$107*K48+'直接配方'!$F$108*K50+'直接配方'!$F$109*K46+'直接配方'!$F$110*K51+'直接配方'!$F$111*K28</x:f>
        <x:v>0</x:v>
      </x:c>
      <x:c r="L76" s="34" t="n">
        <x:f>'直接配方'!$F$106*L37+'直接配方'!$F$107*L48+'直接配方'!$F$108*L50+'直接配方'!$F$109*L46+'直接配方'!$F$110*L51+'直接配方'!$F$111*L28</x:f>
        <x:v>0</x:v>
      </x:c>
      <x:c r="M76" s="34" t="n">
        <x:f>'直接配方'!$F$106*M37+'直接配方'!$F$107*M48+'直接配方'!$F$108*M50+'直接配方'!$F$109*M46+'直接配方'!$F$110*M51+'直接配方'!$F$111*M28</x:f>
        <x:v>0</x:v>
      </x:c>
      <x:c r="N76" s="34" t="n">
        <x:f>'直接配方'!$F$106*N37+'直接配方'!$F$107*N48+'直接配方'!$F$108*N50+'直接配方'!$F$109*N46+'直接配方'!$F$110*N51+'直接配方'!$F$111*N28</x:f>
        <x:v>0</x:v>
      </x:c>
      <x:c r="O76" s="34" t="n">
        <x:f>'直接配方'!$F$106*O37+'直接配方'!$F$107*O48+'直接配方'!$F$108*O50+'直接配方'!$F$109*O46+'直接配方'!$F$110*O51+'直接配方'!$F$111*O28</x:f>
        <x:v>0</x:v>
      </x:c>
      <x:c r="P76" s="34" t="n">
        <x:f>'直接配方'!$F$106*P37+'直接配方'!$F$107*P48+'直接配方'!$F$108*P50+'直接配方'!$F$109*P46+'直接配方'!$F$110*P51+'直接配方'!$F$111*P28</x:f>
        <x:v>0</x:v>
      </x:c>
      <x:c r="Q76" s="34" t="n">
        <x:f>'直接配方'!$F$106*Q37+'直接配方'!$F$107*Q48+'直接配方'!$F$108*Q50+'直接配方'!$F$109*Q46+'直接配方'!$F$110*Q51+'直接配方'!$F$111*Q28</x:f>
        <x:v>0</x:v>
      </x:c>
      <x:c r="R76" s="34" t="n">
        <x:f>'直接配方'!$F$106*R37+'直接配方'!$F$107*R48+'直接配方'!$F$108*R50+'直接配方'!$F$109*R46+'直接配方'!$F$110*R51+'直接配方'!$F$111*R28</x:f>
        <x:v>0</x:v>
      </x:c>
      <x:c r="S76" s="34" t="n">
        <x:f>'直接配方'!$F$106*S37+'直接配方'!$F$107*S48+'直接配方'!$F$108*S50+'直接配方'!$F$109*S46+'直接配方'!$F$110*S51+'直接配方'!$F$111*S28</x:f>
        <x:v>0</x:v>
      </x:c>
      <x:c r="T76" s="34" t="n">
        <x:f>'直接配方'!$F$106*T37+'直接配方'!$F$107*T48+'直接配方'!$F$108*T50+'直接配方'!$F$109*T46+'直接配方'!$F$110*T51+'直接配方'!$F$111*T28</x:f>
        <x:v>0</x:v>
      </x:c>
      <x:c r="U76" s="34" t="n">
        <x:f>'直接配方'!$F$106*U37+'直接配方'!$F$107*U48+'直接配方'!$F$108*U50+'直接配方'!$F$109*U46+'直接配方'!$F$110*U51+'直接配方'!$F$111*U28</x:f>
        <x:v>0</x:v>
      </x:c>
      <x:c r="V76" s="34" t="n">
        <x:f>'直接配方'!$F$106*V37+'直接配方'!$F$107*V48+'直接配方'!$F$108*V50+'直接配方'!$F$109*V46+'直接配方'!$F$110*V51+'直接配方'!$F$111*V28</x:f>
        <x:v>0</x:v>
      </x:c>
      <x:c r="W76" s="34" t="n">
        <x:f>'直接配方'!$F$106*W37+'直接配方'!$F$107*W48+'直接配方'!$F$108*W50+'直接配方'!$F$109*W46+'直接配方'!$F$110*W51+'直接配方'!$F$111*W28</x:f>
        <x:v>0</x:v>
      </x:c>
      <x:c r="X76" s="34" t="n">
        <x:f>'直接配方'!$F$106*X37+'直接配方'!$F$107*X48+'直接配方'!$F$108*X50+'直接配方'!$F$109*X46+'直接配方'!$F$110*X51+'直接配方'!$F$111*X28</x:f>
        <x:v>0</x:v>
      </x:c>
      <x:c r="Y76" s="34" t="n">
        <x:f>'直接配方'!$F$106*Y37+'直接配方'!$F$107*Y48+'直接配方'!$F$108*Y50+'直接配方'!$F$109*Y46+'直接配方'!$F$110*Y51+'直接配方'!$F$111*Y28</x:f>
        <x:v>0</x:v>
      </x:c>
      <x:c r="Z76" s="34" t="n">
        <x:f>'直接配方'!$F$106*Z37+'直接配方'!$F$107*Z48+'直接配方'!$F$108*Z50+'直接配方'!$F$109*Z46+'直接配方'!$F$110*Z51+'直接配方'!$F$111*Z28</x:f>
        <x:v>0.1</x:v>
      </x:c>
      <x:c r="AA76" s="34" t="n">
        <x:f>'直接配方'!$F$106*AA37+'直接配方'!$F$107*AA48+'直接配方'!$F$108*AA50+'直接配方'!$F$109*AA46+'直接配方'!$F$110*AA51+'直接配方'!$F$111*AA28</x:f>
        <x:v>0</x:v>
      </x:c>
      <x:c r="AB76" s="34" t="n">
        <x:f>'直接配方'!$F$106*AB37+'直接配方'!$F$107*AB48+'直接配方'!$F$108*AB50+'直接配方'!$F$109*AB46+'直接配方'!$F$110*AB51+'直接配方'!$F$111*AB28</x:f>
        <x:v>0</x:v>
      </x:c>
      <x:c r="AC76" s="34" t="n">
        <x:f>'直接配方'!$F$106*AC37+'直接配方'!$F$107*AC48+'直接配方'!$F$108*AC50+'直接配方'!$F$109*AC46+'直接配方'!$F$110*AC51+'直接配方'!$F$111*AC28</x:f>
        <x:v>0</x:v>
      </x:c>
    </x:row>
    <x:row r="77" ht="40" customHeight="1">
      <x:c r="A77" s="22" t="str">
        <x:v>I19</x:v>
      </x:c>
      <x:c r="B77" s="22" t="str">
        <x:v>机械阀门套件</x:v>
      </x:c>
      <x:c r="C77" s="22" t="str">
        <x:v>件（示例小型阀）</x:v>
      </x:c>
      <x:c r="D77" s="34" t="n">
        <x:f>'直接配方'!$F$112*D37+'直接配方'!$F$113*D51+'直接配方'!$F$114*D28</x:f>
        <x:v>0.4983298155286643</x:v>
      </x:c>
      <x:c r="E77" s="34" t="n">
        <x:f>'直接配方'!$F$112*E37+'直接配方'!$F$113*E51+'直接配方'!$F$114*E28</x:f>
        <x:v>0.06356949315461824</x:v>
      </x:c>
      <x:c r="F77" s="34" t="n">
        <x:f>'直接配方'!$F$112*F37+'直接配方'!$F$113*F51+'直接配方'!$F$114*F28</x:f>
        <x:v>0</x:v>
      </x:c>
      <x:c r="G77" s="34" t="n">
        <x:f>'直接配方'!$F$112*G37+'直接配方'!$F$113*G51+'直接配方'!$F$114*G28</x:f>
        <x:v>0</x:v>
      </x:c>
      <x:c r="H77" s="34" t="n">
        <x:f>'直接配方'!$F$112*H37+'直接配方'!$F$113*H51+'直接配方'!$F$114*H28</x:f>
        <x:v>0</x:v>
      </x:c>
      <x:c r="I77" s="34" t="n">
        <x:f>'直接配方'!$F$112*I37+'直接配方'!$F$113*I51+'直接配方'!$F$114*I28</x:f>
        <x:v>0.02544590986325755</x:v>
      </x:c>
      <x:c r="J77" s="34" t="n">
        <x:f>'直接配方'!$F$112*J37+'直接配方'!$F$113*J51+'直接配方'!$F$114*J28</x:f>
        <x:v>1.2841871555197422</x:v>
      </x:c>
      <x:c r="K77" s="34" t="n">
        <x:f>'直接配方'!$F$112*K37+'直接配方'!$F$113*K51+'直接配方'!$F$114*K28</x:f>
        <x:v>0</x:v>
      </x:c>
      <x:c r="L77" s="34" t="n">
        <x:f>'直接配方'!$F$112*L37+'直接配方'!$F$113*L51+'直接配方'!$F$114*L28</x:f>
        <x:v>0</x:v>
      </x:c>
      <x:c r="M77" s="34" t="n">
        <x:f>'直接配方'!$F$112*M37+'直接配方'!$F$113*M51+'直接配方'!$F$114*M28</x:f>
        <x:v>0</x:v>
      </x:c>
      <x:c r="N77" s="34" t="n">
        <x:f>'直接配方'!$F$112*N37+'直接配方'!$F$113*N51+'直接配方'!$F$114*N28</x:f>
        <x:v>0</x:v>
      </x:c>
      <x:c r="O77" s="34" t="n">
        <x:f>'直接配方'!$F$112*O37+'直接配方'!$F$113*O51+'直接配方'!$F$114*O28</x:f>
        <x:v>0</x:v>
      </x:c>
      <x:c r="P77" s="34" t="n">
        <x:f>'直接配方'!$F$112*P37+'直接配方'!$F$113*P51+'直接配方'!$F$114*P28</x:f>
        <x:v>0</x:v>
      </x:c>
      <x:c r="Q77" s="34" t="n">
        <x:f>'直接配方'!$F$112*Q37+'直接配方'!$F$113*Q51+'直接配方'!$F$114*Q28</x:f>
        <x:v>0</x:v>
      </x:c>
      <x:c r="R77" s="34" t="n">
        <x:f>'直接配方'!$F$112*R37+'直接配方'!$F$113*R51+'直接配方'!$F$114*R28</x:f>
        <x:v>0</x:v>
      </x:c>
      <x:c r="S77" s="34" t="n">
        <x:f>'直接配方'!$F$112*S37+'直接配方'!$F$113*S51+'直接配方'!$F$114*S28</x:f>
        <x:v>0</x:v>
      </x:c>
      <x:c r="T77" s="34" t="n">
        <x:f>'直接配方'!$F$112*T37+'直接配方'!$F$113*T51+'直接配方'!$F$114*T28</x:f>
        <x:v>0</x:v>
      </x:c>
      <x:c r="U77" s="34" t="n">
        <x:f>'直接配方'!$F$112*U37+'直接配方'!$F$113*U51+'直接配方'!$F$114*U28</x:f>
        <x:v>0</x:v>
      </x:c>
      <x:c r="V77" s="34" t="n">
        <x:f>'直接配方'!$F$112*V37+'直接配方'!$F$113*V51+'直接配方'!$F$114*V28</x:f>
        <x:v>0</x:v>
      </x:c>
      <x:c r="W77" s="34" t="n">
        <x:f>'直接配方'!$F$112*W37+'直接配方'!$F$113*W51+'直接配方'!$F$114*W28</x:f>
        <x:v>0</x:v>
      </x:c>
      <x:c r="X77" s="34" t="n">
        <x:f>'直接配方'!$F$112*X37+'直接配方'!$F$113*X51+'直接配方'!$F$114*X28</x:f>
        <x:v>0</x:v>
      </x:c>
      <x:c r="Y77" s="34" t="n">
        <x:f>'直接配方'!$F$112*Y37+'直接配方'!$F$113*Y51+'直接配方'!$F$114*Y28</x:f>
        <x:v>0</x:v>
      </x:c>
      <x:c r="Z77" s="34" t="n">
        <x:f>'直接配方'!$F$112*Z37+'直接配方'!$F$113*Z51+'直接配方'!$F$114*Z28</x:f>
        <x:v>0.02</x:v>
      </x:c>
      <x:c r="AA77" s="34" t="n">
        <x:f>'直接配方'!$F$112*AA37+'直接配方'!$F$113*AA51+'直接配方'!$F$114*AA28</x:f>
        <x:v>0</x:v>
      </x:c>
      <x:c r="AB77" s="34" t="n">
        <x:f>'直接配方'!$F$112*AB37+'直接配方'!$F$113*AB51+'直接配方'!$F$114*AB28</x:f>
        <x:v>0</x:v>
      </x:c>
      <x:c r="AC77" s="34" t="n">
        <x:f>'直接配方'!$F$112*AC37+'直接配方'!$F$113*AC51+'直接配方'!$F$114*AC28</x:f>
        <x:v>0</x:v>
      </x:c>
    </x:row>
    <x:row r="78" ht="40" customHeight="1">
      <x:c r="A78" s="22" t="str">
        <x:v>I20</x:v>
      </x:c>
      <x:c r="B78" s="22" t="str">
        <x:v>绝缘电缆</x:v>
      </x:c>
      <x:c r="C78" s="22" t="str">
        <x:v>kg</x:v>
      </x:c>
      <x:c r="D78" s="34" t="n">
        <x:f>'直接配方'!$F$115*D38+'直接配方'!$F$116*D46</x:f>
        <x:v>0.9973816362911307</x:v>
      </x:c>
      <x:c r="E78" s="34" t="n">
        <x:f>'直接配方'!$F$115*E38+'直接配方'!$F$116*E46</x:f>
        <x:v>0.6274898410208883</x:v>
      </x:c>
      <x:c r="F78" s="34" t="n">
        <x:f>'直接配方'!$F$115*F38+'直接配方'!$F$116*F46</x:f>
        <x:v>0</x:v>
      </x:c>
      <x:c r="G78" s="34" t="n">
        <x:f>'直接配方'!$F$115*G38+'直接配方'!$F$116*G46</x:f>
        <x:v>0</x:v>
      </x:c>
      <x:c r="H78" s="34" t="n">
        <x:f>'直接配方'!$F$115*H38+'直接配方'!$F$116*H46</x:f>
        <x:v>0</x:v>
      </x:c>
      <x:c r="I78" s="34" t="n">
        <x:f>'直接配方'!$F$115*I38+'直接配方'!$F$116*I46</x:f>
        <x:v>0</x:v>
      </x:c>
      <x:c r="J78" s="34" t="n">
        <x:f>'直接配方'!$F$115*J38+'直接配方'!$F$116*J46</x:f>
        <x:v>0</x:v>
      </x:c>
      <x:c r="K78" s="34" t="n">
        <x:f>'直接配方'!$F$115*K38+'直接配方'!$F$116*K46</x:f>
        <x:v>0</x:v>
      </x:c>
      <x:c r="L78" s="34" t="n">
        <x:f>'直接配方'!$F$115*L38+'直接配方'!$F$116*L46</x:f>
        <x:v>0</x:v>
      </x:c>
      <x:c r="M78" s="34" t="n">
        <x:f>'直接配方'!$F$115*M38+'直接配方'!$F$116*M46</x:f>
        <x:v>0</x:v>
      </x:c>
      <x:c r="N78" s="34" t="n">
        <x:f>'直接配方'!$F$115*N38+'直接配方'!$F$116*N46</x:f>
        <x:v>0</x:v>
      </x:c>
      <x:c r="O78" s="34" t="n">
        <x:f>'直接配方'!$F$115*O38+'直接配方'!$F$116*O46</x:f>
        <x:v>0</x:v>
      </x:c>
      <x:c r="P78" s="34" t="n">
        <x:f>'直接配方'!$F$115*P38+'直接配方'!$F$116*P46</x:f>
        <x:v>0</x:v>
      </x:c>
      <x:c r="Q78" s="34" t="n">
        <x:f>'直接配方'!$F$115*Q38+'直接配方'!$F$116*Q46</x:f>
        <x:v>1.0014162968558211</x:v>
      </x:c>
      <x:c r="R78" s="34" t="n">
        <x:f>'直接配方'!$F$115*R38+'直接配方'!$F$116*R46</x:f>
        <x:v>0</x:v>
      </x:c>
      <x:c r="S78" s="34" t="n">
        <x:f>'直接配方'!$F$115*S38+'直接配方'!$F$116*S46</x:f>
        <x:v>0</x:v>
      </x:c>
      <x:c r="T78" s="34" t="n">
        <x:f>'直接配方'!$F$115*T38+'直接配方'!$F$116*T46</x:f>
        <x:v>0</x:v>
      </x:c>
      <x:c r="U78" s="34" t="n">
        <x:f>'直接配方'!$F$115*U38+'直接配方'!$F$116*U46</x:f>
        <x:v>0</x:v>
      </x:c>
      <x:c r="V78" s="34" t="n">
        <x:f>'直接配方'!$F$115*V38+'直接配方'!$F$116*V46</x:f>
        <x:v>0</x:v>
      </x:c>
      <x:c r="W78" s="34" t="n">
        <x:f>'直接配方'!$F$115*W38+'直接配方'!$F$116*W46</x:f>
        <x:v>0</x:v>
      </x:c>
      <x:c r="X78" s="34" t="n">
        <x:f>'直接配方'!$F$115*X38+'直接配方'!$F$116*X46</x:f>
        <x:v>0</x:v>
      </x:c>
      <x:c r="Y78" s="34" t="n">
        <x:f>'直接配方'!$F$115*Y38+'直接配方'!$F$116*Y46</x:f>
        <x:v>0</x:v>
      </x:c>
      <x:c r="Z78" s="34" t="n">
        <x:f>'直接配方'!$F$115*Z38+'直接配方'!$F$116*Z46</x:f>
        <x:v>0</x:v>
      </x:c>
      <x:c r="AA78" s="34" t="n">
        <x:f>'直接配方'!$F$115*AA38+'直接配方'!$F$116*AA46</x:f>
        <x:v>0</x:v>
      </x:c>
      <x:c r="AB78" s="34" t="n">
        <x:f>'直接配方'!$F$115*AB38+'直接配方'!$F$116*AB46</x:f>
        <x:v>0</x:v>
      </x:c>
      <x:c r="AC78" s="34" t="n">
        <x:f>'直接配方'!$F$115*AC38+'直接配方'!$F$116*AC46</x:f>
        <x:v>0</x:v>
      </x:c>
    </x:row>
    <x:row r="79" ht="40" customHeight="1">
      <x:c r="A79" s="22" t="str">
        <x:v>A01</x:v>
      </x:c>
      <x:c r="B79" s="22" t="str">
        <x:v>净水</x:v>
      </x:c>
      <x:c r="C79" s="22" t="str">
        <x:v>kg</x:v>
      </x:c>
      <x:c r="D79" s="34" t="n">
        <x:f>'直接配方'!$F$117*D32</x:f>
        <x:v>1</x:v>
      </x:c>
      <x:c r="E79" s="34" t="n">
        <x:f>'直接配方'!$F$117*E32</x:f>
        <x:v>0</x:v>
      </x:c>
      <x:c r="F79" s="34" t="n">
        <x:f>'直接配方'!$F$117*F32</x:f>
        <x:v>0</x:v>
      </x:c>
      <x:c r="G79" s="34" t="n">
        <x:f>'直接配方'!$F$117*G32</x:f>
        <x:v>0</x:v>
      </x:c>
      <x:c r="H79" s="34" t="n">
        <x:f>'直接配方'!$F$117*H32</x:f>
        <x:v>0</x:v>
      </x:c>
      <x:c r="I79" s="34" t="n">
        <x:f>'直接配方'!$F$117*I32</x:f>
        <x:v>0</x:v>
      </x:c>
      <x:c r="J79" s="34" t="n">
        <x:f>'直接配方'!$F$117*J32</x:f>
        <x:v>0</x:v>
      </x:c>
      <x:c r="K79" s="34" t="n">
        <x:f>'直接配方'!$F$117*K32</x:f>
        <x:v>0</x:v>
      </x:c>
      <x:c r="L79" s="34" t="n">
        <x:f>'直接配方'!$F$117*L32</x:f>
        <x:v>0</x:v>
      </x:c>
      <x:c r="M79" s="34" t="n">
        <x:f>'直接配方'!$F$117*M32</x:f>
        <x:v>0</x:v>
      </x:c>
      <x:c r="N79" s="34" t="n">
        <x:f>'直接配方'!$F$117*N32</x:f>
        <x:v>0</x:v>
      </x:c>
      <x:c r="O79" s="34" t="n">
        <x:f>'直接配方'!$F$117*O32</x:f>
        <x:v>0</x:v>
      </x:c>
      <x:c r="P79" s="34" t="n">
        <x:f>'直接配方'!$F$117*P32</x:f>
        <x:v>0</x:v>
      </x:c>
      <x:c r="Q79" s="34" t="n">
        <x:f>'直接配方'!$F$117*Q32</x:f>
        <x:v>0</x:v>
      </x:c>
      <x:c r="R79" s="34" t="n">
        <x:f>'直接配方'!$F$117*R32</x:f>
        <x:v>0</x:v>
      </x:c>
      <x:c r="S79" s="34" t="n">
        <x:f>'直接配方'!$F$117*S32</x:f>
        <x:v>0</x:v>
      </x:c>
      <x:c r="T79" s="34" t="n">
        <x:f>'直接配方'!$F$117*T32</x:f>
        <x:v>0</x:v>
      </x:c>
      <x:c r="U79" s="34" t="n">
        <x:f>'直接配方'!$F$117*U32</x:f>
        <x:v>0</x:v>
      </x:c>
      <x:c r="V79" s="34" t="n">
        <x:f>'直接配方'!$F$117*V32</x:f>
        <x:v>0</x:v>
      </x:c>
      <x:c r="W79" s="34" t="n">
        <x:f>'直接配方'!$F$117*W32</x:f>
        <x:v>0</x:v>
      </x:c>
      <x:c r="X79" s="34" t="n">
        <x:f>'直接配方'!$F$117*X32</x:f>
        <x:v>0</x:v>
      </x:c>
      <x:c r="Y79" s="34" t="n">
        <x:f>'直接配方'!$F$117*Y32</x:f>
        <x:v>0</x:v>
      </x:c>
      <x:c r="Z79" s="34" t="n">
        <x:f>'直接配方'!$F$117*Z32</x:f>
        <x:v>0</x:v>
      </x:c>
      <x:c r="AA79" s="34" t="n">
        <x:f>'直接配方'!$F$117*AA32</x:f>
        <x:v>0</x:v>
      </x:c>
      <x:c r="AB79" s="34" t="n">
        <x:f>'直接配方'!$F$117*AB32</x:f>
        <x:v>0</x:v>
      </x:c>
      <x:c r="AC79" s="34" t="n">
        <x:f>'直接配方'!$F$117*AC32</x:f>
        <x:v>0</x:v>
      </x:c>
    </x:row>
    <x:row r="80" ht="40" customHeight="1">
      <x:c r="A80" s="22" t="str">
        <x:v>A02</x:v>
      </x:c>
      <x:c r="B80" s="22" t="str">
        <x:v>无水硝酸钙肥料当量</x:v>
      </x:c>
      <x:c r="C80" s="22" t="str">
        <x:v>kg</x:v>
      </x:c>
      <x:c r="D80" s="34" t="n">
        <x:f>'直接配方'!$F$118*D13+'直接配方'!$F$119*D54</x:f>
        <x:v>0.3293699645307948</x:v>
      </x:c>
      <x:c r="E80" s="34" t="n">
        <x:f>'直接配方'!$F$118*E13+'直接配方'!$F$119*E54</x:f>
        <x:v>2.1456553270845773</x:v>
      </x:c>
      <x:c r="F80" s="34" t="n">
        <x:f>'直接配方'!$F$118*F13+'直接配方'!$F$119*F54</x:f>
        <x:v>0.17072754531160486</x:v>
      </x:c>
      <x:c r="G80" s="34" t="n">
        <x:f>'直接配方'!$F$118*G13+'直接配方'!$F$119*G54</x:f>
        <x:v>0</x:v>
      </x:c>
      <x:c r="H80" s="34" t="n">
        <x:f>'直接配方'!$F$118*H13+'直接配方'!$F$119*H54</x:f>
        <x:v>0</x:v>
      </x:c>
      <x:c r="I80" s="34" t="n">
        <x:f>'直接配方'!$F$118*I13+'直接配方'!$F$119*I54</x:f>
        <x:v>0</x:v>
      </x:c>
      <x:c r="J80" s="34" t="n">
        <x:f>'直接配方'!$F$118*J13+'直接配方'!$F$119*J54</x:f>
        <x:v>0</x:v>
      </x:c>
      <x:c r="K80" s="34" t="n">
        <x:f>'直接配方'!$F$118*K13+'直接配方'!$F$119*K54</x:f>
        <x:v>0.609960630401131</x:v>
      </x:c>
      <x:c r="L80" s="34" t="n">
        <x:f>'直接配方'!$F$118*L13+'直接配方'!$F$119*L54</x:f>
        <x:v>0</x:v>
      </x:c>
      <x:c r="M80" s="34" t="n">
        <x:f>'直接配方'!$F$118*M13+'直接配方'!$F$119*M54</x:f>
        <x:v>0</x:v>
      </x:c>
      <x:c r="N80" s="34" t="n">
        <x:f>'直接配方'!$F$118*N13+'直接配方'!$F$119*N54</x:f>
        <x:v>0</x:v>
      </x:c>
      <x:c r="O80" s="34" t="n">
        <x:f>'直接配方'!$F$118*O13+'直接配方'!$F$119*O54</x:f>
        <x:v>0</x:v>
      </x:c>
      <x:c r="P80" s="34" t="n">
        <x:f>'直接配方'!$F$118*P13+'直接配方'!$F$119*P54</x:f>
        <x:v>0</x:v>
      </x:c>
      <x:c r="Q80" s="34" t="n">
        <x:f>'直接配方'!$F$118*Q13+'直接配方'!$F$119*Q54</x:f>
        <x:v>0</x:v>
      </x:c>
      <x:c r="R80" s="34" t="n">
        <x:f>'直接配方'!$F$118*R13+'直接配方'!$F$119*R54</x:f>
        <x:v>0</x:v>
      </x:c>
      <x:c r="S80" s="34" t="n">
        <x:f>'直接配方'!$F$118*S13+'直接配方'!$F$119*S54</x:f>
        <x:v>0</x:v>
      </x:c>
      <x:c r="T80" s="34" t="n">
        <x:f>'直接配方'!$F$118*T13+'直接配方'!$F$119*T54</x:f>
        <x:v>0</x:v>
      </x:c>
      <x:c r="U80" s="34" t="n">
        <x:f>'直接配方'!$F$118*U13+'直接配方'!$F$119*U54</x:f>
        <x:v>0</x:v>
      </x:c>
      <x:c r="V80" s="34" t="n">
        <x:f>'直接配方'!$F$118*V13+'直接配方'!$F$119*V54</x:f>
        <x:v>0</x:v>
      </x:c>
      <x:c r="W80" s="34" t="n">
        <x:f>'直接配方'!$F$118*W13+'直接配方'!$F$119*W54</x:f>
        <x:v>0</x:v>
      </x:c>
      <x:c r="X80" s="34" t="n">
        <x:f>'直接配方'!$F$118*X13+'直接配方'!$F$119*X54</x:f>
        <x:v>0</x:v>
      </x:c>
      <x:c r="Y80" s="34" t="n">
        <x:f>'直接配方'!$F$118*Y13+'直接配方'!$F$119*Y54</x:f>
        <x:v>0</x:v>
      </x:c>
      <x:c r="Z80" s="34" t="n">
        <x:f>'直接配方'!$F$118*Z13+'直接配方'!$F$119*Z54</x:f>
        <x:v>0</x:v>
      </x:c>
      <x:c r="AA80" s="34" t="n">
        <x:f>'直接配方'!$F$118*AA13+'直接配方'!$F$119*AA54</x:f>
        <x:v>0</x:v>
      </x:c>
      <x:c r="AB80" s="34" t="n">
        <x:f>'直接配方'!$F$118*AB13+'直接配方'!$F$119*AB54</x:f>
        <x:v>0</x:v>
      </x:c>
      <x:c r="AC80" s="34" t="n">
        <x:f>'直接配方'!$F$118*AC13+'直接配方'!$F$119*AC54</x:f>
        <x:v>0</x:v>
      </x:c>
    </x:row>
    <x:row r="81" ht="40" customHeight="1">
      <x:c r="A81" s="22" t="str">
        <x:v>A03</x:v>
      </x:c>
      <x:c r="B81" s="22" t="str">
        <x:v>磷酸一铵肥料当量</x:v>
      </x:c>
      <x:c r="C81" s="22" t="str">
        <x:v>kg</x:v>
      </x:c>
      <x:c r="D81" s="34" t="n">
        <x:f>'直接配方'!$F$120*D53+'直接配方'!$F$121*D56</x:f>
        <x:v>1.0180178222125627</x:v>
      </x:c>
      <x:c r="E81" s="34" t="n">
        <x:f>'直接配方'!$F$120*E53+'直接配方'!$F$121*E56</x:f>
        <x:v>1.9130189089328409</x:v>
      </x:c>
      <x:c r="F81" s="34" t="n">
        <x:f>'直接配方'!$F$120*F53+'直接配方'!$F$121*F56</x:f>
        <x:v>0.12177352749402304</x:v>
      </x:c>
      <x:c r="G81" s="34" t="n">
        <x:f>'直接配方'!$F$120*G53+'直接配方'!$F$121*G56</x:f>
        <x:v>0</x:v>
      </x:c>
      <x:c r="H81" s="34" t="n">
        <x:f>'直接配方'!$F$120*H53+'直接配方'!$F$121*H56</x:f>
        <x:v>0</x:v>
      </x:c>
      <x:c r="I81" s="34" t="n">
        <x:f>'直接配方'!$F$120*I53+'直接配方'!$F$121*I56</x:f>
        <x:v>0</x:v>
      </x:c>
      <x:c r="J81" s="34" t="n">
        <x:f>'直接配方'!$F$120*J53+'直接配方'!$F$121*J56</x:f>
        <x:v>0</x:v>
      </x:c>
      <x:c r="K81" s="34" t="n">
        <x:f>'直接配方'!$F$120*K53+'直接配方'!$F$121*K56</x:f>
        <x:v>0</x:v>
      </x:c>
      <x:c r="L81" s="34" t="n">
        <x:f>'直接配方'!$F$120*L53+'直接配方'!$F$121*L56</x:f>
        <x:v>0.464536694921394</x:v>
      </x:c>
      <x:c r="M81" s="34" t="n">
        <x:f>'直接配方'!$F$120*M53+'直接配方'!$F$121*M56</x:f>
        <x:v>1.4614156342824025</x:v>
      </x:c>
      <x:c r="N81" s="34" t="n">
        <x:f>'直接配方'!$F$120*N53+'直接配方'!$F$121*N56</x:f>
        <x:v>0</x:v>
      </x:c>
      <x:c r="O81" s="34" t="n">
        <x:f>'直接配方'!$F$120*O53+'直接配方'!$F$121*O56</x:f>
        <x:v>0</x:v>
      </x:c>
      <x:c r="P81" s="34" t="n">
        <x:f>'直接配方'!$F$120*P53+'直接配方'!$F$121*P56</x:f>
        <x:v>0</x:v>
      </x:c>
      <x:c r="Q81" s="34" t="n">
        <x:f>'直接配方'!$F$120*Q53+'直接配方'!$F$121*Q56</x:f>
        <x:v>0</x:v>
      </x:c>
      <x:c r="R81" s="34" t="n">
        <x:f>'直接配方'!$F$120*R53+'直接配方'!$F$121*R56</x:f>
        <x:v>0</x:v>
      </x:c>
      <x:c r="S81" s="34" t="n">
        <x:f>'直接配方'!$F$120*S53+'直接配方'!$F$121*S56</x:f>
        <x:v>0</x:v>
      </x:c>
      <x:c r="T81" s="34" t="n">
        <x:f>'直接配方'!$F$120*T53+'直接配方'!$F$121*T56</x:f>
        <x:v>0</x:v>
      </x:c>
      <x:c r="U81" s="34" t="n">
        <x:f>'直接配方'!$F$120*U53+'直接配方'!$F$121*U56</x:f>
        <x:v>0</x:v>
      </x:c>
      <x:c r="V81" s="34" t="n">
        <x:f>'直接配方'!$F$120*V53+'直接配方'!$F$121*V56</x:f>
        <x:v>0</x:v>
      </x:c>
      <x:c r="W81" s="34" t="n">
        <x:f>'直接配方'!$F$120*W53+'直接配方'!$F$121*W56</x:f>
        <x:v>0</x:v>
      </x:c>
      <x:c r="X81" s="34" t="n">
        <x:f>'直接配方'!$F$120*X53+'直接配方'!$F$121*X56</x:f>
        <x:v>0</x:v>
      </x:c>
      <x:c r="Y81" s="34" t="n">
        <x:f>'直接配方'!$F$120*Y53+'直接配方'!$F$121*Y56</x:f>
        <x:v>0</x:v>
      </x:c>
      <x:c r="Z81" s="34" t="n">
        <x:f>'直接配方'!$F$120*Z53+'直接配方'!$F$121*Z56</x:f>
        <x:v>0</x:v>
      </x:c>
      <x:c r="AA81" s="34" t="n">
        <x:f>'直接配方'!$F$120*AA53+'直接配方'!$F$121*AA56</x:f>
        <x:v>0</x:v>
      </x:c>
      <x:c r="AB81" s="34" t="n">
        <x:f>'直接配方'!$F$120*AB53+'直接配方'!$F$121*AB56</x:f>
        <x:v>0</x:v>
      </x:c>
      <x:c r="AC81" s="34" t="n">
        <x:f>'直接配方'!$F$120*AC53+'直接配方'!$F$121*AC56</x:f>
        <x:v>0</x:v>
      </x:c>
    </x:row>
    <x:row r="82" ht="40" customHeight="1">
      <x:c r="A82" s="22" t="str">
        <x:v>A04</x:v>
      </x:c>
      <x:c r="B82" s="22" t="str">
        <x:v>硫酸钾肥料</x:v>
      </x:c>
      <x:c r="C82" s="22" t="str">
        <x:v>kg</x:v>
      </x:c>
      <x:c r="D82" s="34" t="n">
        <x:f>'直接配方'!$F$122*D16+'直接配方'!$F$123*D55</x:f>
        <x:v>0.10338475311617658</x:v>
      </x:c>
      <x:c r="E82" s="34" t="n">
        <x:f>'直接配方'!$F$122*E16+'直接配方'!$F$123*E55</x:f>
        <x:v>0.7576785345361889</x:v>
      </x:c>
      <x:c r="F82" s="34" t="n">
        <x:f>'直接配方'!$F$122*F16+'直接配方'!$F$123*F55</x:f>
        <x:v>0</x:v>
      </x:c>
      <x:c r="G82" s="34" t="n">
        <x:f>'直接配方'!$F$122*G16+'直接配方'!$F$123*G55</x:f>
        <x:v>0</x:v>
      </x:c>
      <x:c r="H82" s="34" t="n">
        <x:f>'直接配方'!$F$122*H16+'直接配方'!$F$123*H55</x:f>
        <x:v>0</x:v>
      </x:c>
      <x:c r="I82" s="34" t="n">
        <x:f>'直接配方'!$F$122*I16+'直接配方'!$F$123*I55</x:f>
        <x:v>0</x:v>
      </x:c>
      <x:c r="J82" s="34" t="n">
        <x:f>'直接配方'!$F$122*J16+'直接配方'!$F$123*J55</x:f>
        <x:v>0</x:v>
      </x:c>
      <x:c r="K82" s="34" t="n">
        <x:f>'直接配方'!$F$122*K16+'直接配方'!$F$123*K55</x:f>
        <x:v>0</x:v>
      </x:c>
      <x:c r="L82" s="34" t="n">
        <x:f>'直接配方'!$F$122*L16+'直接配方'!$F$123*L55</x:f>
        <x:v>0.18398641048596287</x:v>
      </x:c>
      <x:c r="M82" s="34" t="n">
        <x:f>'直接配方'!$F$122*M16+'直接配方'!$F$123*M55</x:f>
        <x:v>0</x:v>
      </x:c>
      <x:c r="N82" s="34" t="n">
        <x:f>'直接配方'!$F$122*N16+'直接配方'!$F$123*N55</x:f>
        <x:v>0.8556343686155682</x:v>
      </x:c>
      <x:c r="O82" s="34" t="n">
        <x:f>'直接配方'!$F$122*O16+'直接配方'!$F$123*O55</x:f>
        <x:v>0</x:v>
      </x:c>
      <x:c r="P82" s="34" t="n">
        <x:f>'直接配方'!$F$122*P16+'直接配方'!$F$123*P55</x:f>
        <x:v>0</x:v>
      </x:c>
      <x:c r="Q82" s="34" t="n">
        <x:f>'直接配方'!$F$122*Q16+'直接配方'!$F$123*Q55</x:f>
        <x:v>0</x:v>
      </x:c>
      <x:c r="R82" s="34" t="n">
        <x:f>'直接配方'!$F$122*R16+'直接配方'!$F$123*R55</x:f>
        <x:v>0</x:v>
      </x:c>
      <x:c r="S82" s="34" t="n">
        <x:f>'直接配方'!$F$122*S16+'直接配方'!$F$123*S55</x:f>
        <x:v>0</x:v>
      </x:c>
      <x:c r="T82" s="34" t="n">
        <x:f>'直接配方'!$F$122*T16+'直接配方'!$F$123*T55</x:f>
        <x:v>0</x:v>
      </x:c>
      <x:c r="U82" s="34" t="n">
        <x:f>'直接配方'!$F$122*U16+'直接配方'!$F$123*U55</x:f>
        <x:v>0</x:v>
      </x:c>
      <x:c r="V82" s="34" t="n">
        <x:f>'直接配方'!$F$122*V16+'直接配方'!$F$123*V55</x:f>
        <x:v>0</x:v>
      </x:c>
      <x:c r="W82" s="34" t="n">
        <x:f>'直接配方'!$F$122*W16+'直接配方'!$F$123*W55</x:f>
        <x:v>0</x:v>
      </x:c>
      <x:c r="X82" s="34" t="n">
        <x:f>'直接配方'!$F$122*X16+'直接配方'!$F$123*X55</x:f>
        <x:v>0</x:v>
      </x:c>
      <x:c r="Y82" s="34" t="n">
        <x:f>'直接配方'!$F$122*Y16+'直接配方'!$F$123*Y55</x:f>
        <x:v>0</x:v>
      </x:c>
      <x:c r="Z82" s="34" t="n">
        <x:f>'直接配方'!$F$122*Z16+'直接配方'!$F$123*Z55</x:f>
        <x:v>0</x:v>
      </x:c>
      <x:c r="AA82" s="34" t="n">
        <x:f>'直接配方'!$F$122*AA16+'直接配方'!$F$123*AA55</x:f>
        <x:v>0</x:v>
      </x:c>
      <x:c r="AB82" s="34" t="n">
        <x:f>'直接配方'!$F$122*AB16+'直接配方'!$F$123*AB55</x:f>
        <x:v>0</x:v>
      </x:c>
      <x:c r="AC82" s="34" t="n">
        <x:f>'直接配方'!$F$122*AC16+'直接配方'!$F$123*AC55</x:f>
        <x:v>0</x:v>
      </x:c>
    </x:row>
    <x:row r="83" ht="40" customHeight="1">
      <x:c r="A83" s="22" t="str">
        <x:v>A05</x:v>
      </x:c>
      <x:c r="B83" s="22" t="str">
        <x:v>七水硫酸镁肥料</x:v>
      </x:c>
      <x:c r="C83" s="22" t="str">
        <x:v>kg</x:v>
      </x:c>
      <x:c r="D83" s="34" t="n">
        <x:f>'直接配方'!$F$124*D17+'直接配方'!$F$125*D32</x:f>
        <x:v>0.43855947676352924</x:v>
      </x:c>
      <x:c r="E83" s="34" t="n">
        <x:f>'直接配方'!$F$124*E17+'直接配方'!$F$125*E32</x:f>
        <x:v>0</x:v>
      </x:c>
      <x:c r="F83" s="34" t="n">
        <x:f>'直接配方'!$F$124*F17+'直接配方'!$F$125*F32</x:f>
        <x:v>0</x:v>
      </x:c>
      <x:c r="G83" s="34" t="n">
        <x:f>'直接配方'!$F$124*G17+'直接配方'!$F$125*G32</x:f>
        <x:v>0</x:v>
      </x:c>
      <x:c r="H83" s="34" t="n">
        <x:f>'直接配方'!$F$124*H17+'直接配方'!$F$125*H32</x:f>
        <x:v>0</x:v>
      </x:c>
      <x:c r="I83" s="34" t="n">
        <x:f>'直接配方'!$F$124*I17+'直接配方'!$F$125*I32</x:f>
        <x:v>0</x:v>
      </x:c>
      <x:c r="J83" s="34" t="n">
        <x:f>'直接配方'!$F$124*J17+'直接配方'!$F$125*J32</x:f>
        <x:v>0</x:v>
      </x:c>
      <x:c r="K83" s="34" t="n">
        <x:f>'直接配方'!$F$124*K17+'直接配方'!$F$125*K32</x:f>
        <x:v>0</x:v>
      </x:c>
      <x:c r="L83" s="34" t="n">
        <x:f>'直接配方'!$F$124*L17+'直接配方'!$F$125*L32</x:f>
        <x:v>0</x:v>
      </x:c>
      <x:c r="M83" s="34" t="n">
        <x:f>'直接配方'!$F$124*M17+'直接配方'!$F$125*M32</x:f>
        <x:v>0</x:v>
      </x:c>
      <x:c r="N83" s="34" t="n">
        <x:f>'直接配方'!$F$124*N17+'直接配方'!$F$125*N32</x:f>
        <x:v>0</x:v>
      </x:c>
      <x:c r="O83" s="34" t="n">
        <x:f>'直接配方'!$F$124*O17+'直接配方'!$F$125*O32</x:f>
        <x:v>0.5614405232364708</x:v>
      </x:c>
      <x:c r="P83" s="34" t="n">
        <x:f>'直接配方'!$F$124*P17+'直接配方'!$F$125*P32</x:f>
        <x:v>0</x:v>
      </x:c>
      <x:c r="Q83" s="34" t="n">
        <x:f>'直接配方'!$F$124*Q17+'直接配方'!$F$125*Q32</x:f>
        <x:v>0</x:v>
      </x:c>
      <x:c r="R83" s="34" t="n">
        <x:f>'直接配方'!$F$124*R17+'直接配方'!$F$125*R32</x:f>
        <x:v>0</x:v>
      </x:c>
      <x:c r="S83" s="34" t="n">
        <x:f>'直接配方'!$F$124*S17+'直接配方'!$F$125*S32</x:f>
        <x:v>0</x:v>
      </x:c>
      <x:c r="T83" s="34" t="n">
        <x:f>'直接配方'!$F$124*T17+'直接配方'!$F$125*T32</x:f>
        <x:v>0</x:v>
      </x:c>
      <x:c r="U83" s="34" t="n">
        <x:f>'直接配方'!$F$124*U17+'直接配方'!$F$125*U32</x:f>
        <x:v>0</x:v>
      </x:c>
      <x:c r="V83" s="34" t="n">
        <x:f>'直接配方'!$F$124*V17+'直接配方'!$F$125*V32</x:f>
        <x:v>0</x:v>
      </x:c>
      <x:c r="W83" s="34" t="n">
        <x:f>'直接配方'!$F$124*W17+'直接配方'!$F$125*W32</x:f>
        <x:v>0</x:v>
      </x:c>
      <x:c r="X83" s="34" t="n">
        <x:f>'直接配方'!$F$124*X17+'直接配方'!$F$125*X32</x:f>
        <x:v>0</x:v>
      </x:c>
      <x:c r="Y83" s="34" t="n">
        <x:f>'直接配方'!$F$124*Y17+'直接配方'!$F$125*Y32</x:f>
        <x:v>0</x:v>
      </x:c>
      <x:c r="Z83" s="34" t="n">
        <x:f>'直接配方'!$F$124*Z17+'直接配方'!$F$125*Z32</x:f>
        <x:v>0</x:v>
      </x:c>
      <x:c r="AA83" s="34" t="n">
        <x:f>'直接配方'!$F$124*AA17+'直接配方'!$F$125*AA32</x:f>
        <x:v>0</x:v>
      </x:c>
      <x:c r="AB83" s="34" t="n">
        <x:f>'直接配方'!$F$124*AB17+'直接配方'!$F$125*AB32</x:f>
        <x:v>0</x:v>
      </x:c>
      <x:c r="AC83" s="34" t="n">
        <x:f>'直接配方'!$F$124*AC17+'直接配方'!$F$125*AC32</x:f>
        <x:v>0</x:v>
      </x:c>
    </x:row>
    <x:row r="84" ht="40" customHeight="1">
      <x:c r="A84" s="22" t="str">
        <x:v>A06</x:v>
      </x:c>
      <x:c r="B84" s="22" t="str">
        <x:v>石膏钙硫肥</x:v>
      </x:c>
      <x:c r="C84" s="22" t="str">
        <x:v>kg</x:v>
      </x:c>
      <x:c r="D84" s="34" t="n">
        <x:f>'直接配方'!$F$126*D26</x:f>
        <x:v>0</x:v>
      </x:c>
      <x:c r="E84" s="34" t="n">
        <x:f>'直接配方'!$F$126*E26</x:f>
        <x:v>0</x:v>
      </x:c>
      <x:c r="F84" s="34" t="n">
        <x:f>'直接配方'!$F$126*F26</x:f>
        <x:v>0</x:v>
      </x:c>
      <x:c r="G84" s="34" t="n">
        <x:f>'直接配方'!$F$126*G26</x:f>
        <x:v>0</x:v>
      </x:c>
      <x:c r="H84" s="34" t="n">
        <x:f>'直接配方'!$F$126*H26</x:f>
        <x:v>0</x:v>
      </x:c>
      <x:c r="I84" s="34" t="n">
        <x:f>'直接配方'!$F$126*I26</x:f>
        <x:v>0</x:v>
      </x:c>
      <x:c r="J84" s="34" t="n">
        <x:f>'直接配方'!$F$126*J26</x:f>
        <x:v>0</x:v>
      </x:c>
      <x:c r="K84" s="34" t="n">
        <x:f>'直接配方'!$F$126*K26</x:f>
        <x:v>0</x:v>
      </x:c>
      <x:c r="L84" s="34" t="n">
        <x:f>'直接配方'!$F$126*L26</x:f>
        <x:v>0</x:v>
      </x:c>
      <x:c r="M84" s="34" t="n">
        <x:f>'直接配方'!$F$126*M26</x:f>
        <x:v>0</x:v>
      </x:c>
      <x:c r="N84" s="34" t="n">
        <x:f>'直接配方'!$F$126*N26</x:f>
        <x:v>0</x:v>
      </x:c>
      <x:c r="O84" s="34" t="n">
        <x:f>'直接配方'!$F$126*O26</x:f>
        <x:v>0</x:v>
      </x:c>
      <x:c r="P84" s="34" t="n">
        <x:f>'直接配方'!$F$126*P26</x:f>
        <x:v>0</x:v>
      </x:c>
      <x:c r="Q84" s="34" t="n">
        <x:f>'直接配方'!$F$126*Q26</x:f>
        <x:v>0</x:v>
      </x:c>
      <x:c r="R84" s="34" t="n">
        <x:f>'直接配方'!$F$126*R26</x:f>
        <x:v>0</x:v>
      </x:c>
      <x:c r="S84" s="34" t="n">
        <x:f>'直接配方'!$F$126*S26</x:f>
        <x:v>0</x:v>
      </x:c>
      <x:c r="T84" s="34" t="n">
        <x:f>'直接配方'!$F$126*T26</x:f>
        <x:v>0</x:v>
      </x:c>
      <x:c r="U84" s="34" t="n">
        <x:f>'直接配方'!$F$126*U26</x:f>
        <x:v>0</x:v>
      </x:c>
      <x:c r="V84" s="34" t="n">
        <x:f>'直接配方'!$F$126*V26</x:f>
        <x:v>0</x:v>
      </x:c>
      <x:c r="W84" s="34" t="n">
        <x:f>'直接配方'!$F$126*W26</x:f>
        <x:v>0</x:v>
      </x:c>
      <x:c r="X84" s="34" t="n">
        <x:f>'直接配方'!$F$126*X26</x:f>
        <x:v>1</x:v>
      </x:c>
      <x:c r="Y84" s="34" t="n">
        <x:f>'直接配方'!$F$126*Y26</x:f>
        <x:v>0</x:v>
      </x:c>
      <x:c r="Z84" s="34" t="n">
        <x:f>'直接配方'!$F$126*Z26</x:f>
        <x:v>0</x:v>
      </x:c>
      <x:c r="AA84" s="34" t="n">
        <x:f>'直接配方'!$F$126*AA26</x:f>
        <x:v>0</x:v>
      </x:c>
      <x:c r="AB84" s="34" t="n">
        <x:f>'直接配方'!$F$126*AB26</x:f>
        <x:v>0</x:v>
      </x:c>
      <x:c r="AC84" s="34" t="n">
        <x:f>'直接配方'!$F$126*AC26</x:f>
        <x:v>0</x:v>
      </x:c>
    </x:row>
    <x:row r="85" ht="40" customHeight="1">
      <x:c r="A85" s="22" t="str">
        <x:v>A07</x:v>
      </x:c>
      <x:c r="B85" s="22" t="str">
        <x:v>小麦可食干物质</x:v>
      </x:c>
      <x:c r="C85" s="22" t="str">
        <x:v>kg可食干物质</x:v>
      </x:c>
      <x:c r="D85" s="34" t="n">
        <x:f>'直接配方'!$F$127*D7+'直接配方'!$F$128*D32+'直接配方'!$F$129*D80+'直接配方'!$F$130*D81+'直接配方'!$F$131*D82+'直接配方'!$F$132*D83+'直接配方'!$F$133*D31</x:f>
        <x:v>10.350834468223036</x:v>
      </x:c>
      <x:c r="E85" s="34" t="n">
        <x:f>'直接配方'!$F$127*E7+'直接配方'!$F$128*E32+'直接配方'!$F$129*E80+'直接配方'!$F$130*E81+'直接配方'!$F$131*E82+'直接配方'!$F$132*E83+'直接配方'!$F$133*E31</x:f>
        <x:v>4.440766422499875</x:v>
      </x:c>
      <x:c r="F85" s="34" t="n">
        <x:f>'直接配方'!$F$127*F7+'直接配方'!$F$128*F32+'直接配方'!$F$129*F80+'直接配方'!$F$130*F81+'直接配方'!$F$131*F82+'直接配方'!$F$132*F83+'直接配方'!$F$133*F31</x:f>
        <x:v>0.053333333333333344</x:v>
      </x:c>
      <x:c r="G85" s="34" t="n">
        <x:f>'直接配方'!$F$127*G7+'直接配方'!$F$128*G32+'直接配方'!$F$129*G80+'直接配方'!$F$130*G81+'直接配方'!$F$131*G82+'直接配方'!$F$132*G83+'直接配方'!$F$133*G31</x:f>
        <x:v>0</x:v>
      </x:c>
      <x:c r="H85" s="34" t="n">
        <x:f>'直接配方'!$F$127*H7+'直接配方'!$F$128*H32+'直接配方'!$F$129*H80+'直接配方'!$F$130*H81+'直接配方'!$F$131*H82+'直接配方'!$F$132*H83+'直接配方'!$F$133*H31</x:f>
        <x:v>0</x:v>
      </x:c>
      <x:c r="I85" s="34" t="n">
        <x:f>'直接配方'!$F$127*I7+'直接配方'!$F$128*I32+'直接配方'!$F$129*I80+'直接配方'!$F$130*I81+'直接配方'!$F$131*I82+'直接配方'!$F$132*I83+'直接配方'!$F$133*I31</x:f>
        <x:v>0</x:v>
      </x:c>
      <x:c r="J85" s="34" t="n">
        <x:f>'直接配方'!$F$127*J7+'直接配方'!$F$128*J32+'直接配方'!$F$129*J80+'直接配方'!$F$130*J81+'直接配方'!$F$131*J82+'直接配方'!$F$132*J83+'直接配方'!$F$133*J31</x:f>
        <x:v>0</x:v>
      </x:c>
      <x:c r="K85" s="34" t="n">
        <x:f>'直接配方'!$F$127*K7+'直接配方'!$F$128*K32+'直接配方'!$F$129*K80+'直接配方'!$F$130*K81+'直接配方'!$F$131*K82+'直接配方'!$F$132*K83+'直接配方'!$F$133*K31</x:f>
        <x:v>0.1761834353695497</x:v>
      </x:c>
      <x:c r="L85" s="34" t="n">
        <x:f>'直接配方'!$F$127*L7+'直接配方'!$F$128*L32+'直接配方'!$F$129*L80+'直接配方'!$F$130*L81+'直接配方'!$F$131*L82+'直接配方'!$F$132*L83+'直接配方'!$F$133*L31</x:f>
        <x:v>0.038111768893507356</x:v>
      </x:c>
      <x:c r="M85" s="34" t="n">
        <x:f>'直接配方'!$F$127*M7+'直接配方'!$F$128*M32+'直接配方'!$F$129*M80+'直接配方'!$F$130*M81+'直接配方'!$F$131*M82+'直接配方'!$F$132*M83+'直接配方'!$F$133*M31</x:f>
        <x:v>0.04824098586867362</x:v>
      </x:c>
      <x:c r="N85" s="34" t="n">
        <x:f>'直接配方'!$F$127*N7+'直接配方'!$F$128*N32+'直接配方'!$F$129*N80+'直接配方'!$F$130*N81+'直接配方'!$F$131*N82+'直接配方'!$F$132*N83+'直接配方'!$F$133*N31</x:f>
        <x:v>0.10592755526000194</x:v>
      </x:c>
      <x:c r="O85" s="34" t="n">
        <x:f>'直接配方'!$F$127*O7+'直接配方'!$F$128*O32+'直接配方'!$F$129*O80+'直接配方'!$F$130*O81+'直接配方'!$F$131*O82+'直接配方'!$F$132*O83+'直接配方'!$F$133*O31</x:f>
        <x:v>0.03795542755262978</x:v>
      </x:c>
      <x:c r="P85" s="34" t="n">
        <x:f>'直接配方'!$F$127*P7+'直接配方'!$F$128*P32+'直接配方'!$F$129*P80+'直接配方'!$F$130*P81+'直接配方'!$F$131*P82+'直接配方'!$F$132*P83+'直接配方'!$F$133*P31</x:f>
        <x:v>0</x:v>
      </x:c>
      <x:c r="Q85" s="34" t="n">
        <x:f>'直接配方'!$F$127*Q7+'直接配方'!$F$128*Q32+'直接配方'!$F$129*Q80+'直接配方'!$F$130*Q81+'直接配方'!$F$131*Q82+'直接配方'!$F$132*Q83+'直接配方'!$F$133*Q31</x:f>
        <x:v>0</x:v>
      </x:c>
      <x:c r="R85" s="34" t="n">
        <x:f>'直接配方'!$F$127*R7+'直接配方'!$F$128*R32+'直接配方'!$F$129*R80+'直接配方'!$F$130*R81+'直接配方'!$F$131*R82+'直接配方'!$F$132*R83+'直接配方'!$F$133*R31</x:f>
        <x:v>0</x:v>
      </x:c>
      <x:c r="S85" s="34" t="n">
        <x:f>'直接配方'!$F$127*S7+'直接配方'!$F$128*S32+'直接配方'!$F$129*S80+'直接配方'!$F$130*S81+'直接配方'!$F$131*S82+'直接配方'!$F$132*S83+'直接配方'!$F$133*S31</x:f>
        <x:v>0</x:v>
      </x:c>
      <x:c r="T85" s="34" t="n">
        <x:f>'直接配方'!$F$127*T7+'直接配方'!$F$128*T32+'直接配方'!$F$129*T80+'直接配方'!$F$130*T81+'直接配方'!$F$131*T82+'直接配方'!$F$132*T83+'直接配方'!$F$133*T31</x:f>
        <x:v>0</x:v>
      </x:c>
      <x:c r="U85" s="34" t="n">
        <x:f>'直接配方'!$F$127*U7+'直接配方'!$F$128*U32+'直接配方'!$F$129*U80+'直接配方'!$F$130*U81+'直接配方'!$F$131*U82+'直接配方'!$F$132*U83+'直接配方'!$F$133*U31</x:f>
        <x:v>0</x:v>
      </x:c>
      <x:c r="V85" s="34" t="n">
        <x:f>'直接配方'!$F$127*V7+'直接配方'!$F$128*V32+'直接配方'!$F$129*V80+'直接配方'!$F$130*V81+'直接配方'!$F$131*V82+'直接配方'!$F$132*V83+'直接配方'!$F$133*V31</x:f>
        <x:v>0</x:v>
      </x:c>
      <x:c r="W85" s="34" t="n">
        <x:f>'直接配方'!$F$127*W7+'直接配方'!$F$128*W32+'直接配方'!$F$129*W80+'直接配方'!$F$130*W81+'直接配方'!$F$131*W82+'直接配方'!$F$132*W83+'直接配方'!$F$133*W31</x:f>
        <x:v>0</x:v>
      </x:c>
      <x:c r="X85" s="34" t="n">
        <x:f>'直接配方'!$F$127*X7+'直接配方'!$F$128*X32+'直接配方'!$F$129*X80+'直接配方'!$F$130*X81+'直接配方'!$F$131*X82+'直接配方'!$F$132*X83+'直接配方'!$F$133*X31</x:f>
        <x:v>0</x:v>
      </x:c>
      <x:c r="Y85" s="34" t="n">
        <x:f>'直接配方'!$F$127*Y7+'直接配方'!$F$128*Y32+'直接配方'!$F$129*Y80+'直接配方'!$F$130*Y81+'直接配方'!$F$131*Y82+'直接配方'!$F$132*Y83+'直接配方'!$F$133*Y31</x:f>
        <x:v>0</x:v>
      </x:c>
      <x:c r="Z85" s="34" t="n">
        <x:f>'直接配方'!$F$127*Z7+'直接配方'!$F$128*Z32+'直接配方'!$F$129*Z80+'直接配方'!$F$130*Z81+'直接配方'!$F$131*Z82+'直接配方'!$F$132*Z83+'直接配方'!$F$133*Z31</x:f>
        <x:v>0</x:v>
      </x:c>
      <x:c r="AA85" s="34" t="n">
        <x:f>'直接配方'!$F$127*AA7+'直接配方'!$F$128*AA32+'直接配方'!$F$129*AA80+'直接配方'!$F$130*AA81+'直接配方'!$F$131*AA82+'直接配方'!$F$132*AA83+'直接配方'!$F$133*AA31</x:f>
        <x:v>0</x:v>
      </x:c>
      <x:c r="AB85" s="34" t="n">
        <x:f>'直接配方'!$F$127*AB7+'直接配方'!$F$128*AB32+'直接配方'!$F$129*AB80+'直接配方'!$F$130*AB81+'直接配方'!$F$131*AB82+'直接配方'!$F$132*AB83+'直接配方'!$F$133*AB31</x:f>
        <x:v>0</x:v>
      </x:c>
      <x:c r="AC85" s="34" t="n">
        <x:f>'直接配方'!$F$127*AC7+'直接配方'!$F$128*AC32+'直接配方'!$F$129*AC80+'直接配方'!$F$130*AC81+'直接配方'!$F$131*AC82+'直接配方'!$F$132*AC83+'直接配方'!$F$133*AC31</x:f>
        <x:v>0.0022222222222222222</x:v>
      </x:c>
    </x:row>
    <x:row r="86" ht="40" customHeight="1">
      <x:c r="A86" s="22" t="str">
        <x:v>A08</x:v>
      </x:c>
      <x:c r="B86" s="22" t="str">
        <x:v>大豆可食干物质</x:v>
      </x:c>
      <x:c r="C86" s="22" t="str">
        <x:v>kg可食干物质</x:v>
      </x:c>
      <x:c r="D86" s="34" t="n">
        <x:f>'直接配方'!$F$134*D7+'直接配方'!$F$135*D32+'直接配方'!$F$136*D80+'直接配方'!$F$137*D81+'直接配方'!$F$138*D82+'直接配方'!$F$139*D83+'直接配方'!$F$140*D31</x:f>
        <x:v>11.866269291928615</x:v>
      </x:c>
      <x:c r="E86" s="34" t="n">
        <x:f>'直接配方'!$F$134*E7+'直接配方'!$F$135*E32+'直接配方'!$F$136*E80+'直接配方'!$F$137*E81+'直接配方'!$F$138*E82+'直接配方'!$F$139*E83+'直接配方'!$F$140*E31</x:f>
        <x:v>6.264431840271915</x:v>
      </x:c>
      <x:c r="F86" s="34" t="n">
        <x:f>'直接配方'!$F$134*F7+'直接配方'!$F$135*F32+'直接配方'!$F$136*F80+'直接配方'!$F$137*F81+'直接配方'!$F$138*F82+'直接配方'!$F$139*F83+'直接配方'!$F$140*F31</x:f>
        <x:v>0.13749999999999998</x:v>
      </x:c>
      <x:c r="G86" s="34" t="n">
        <x:f>'直接配方'!$F$134*G7+'直接配方'!$F$135*G32+'直接配方'!$F$136*G80+'直接配方'!$F$137*G81+'直接配方'!$F$138*G82+'直接配方'!$F$139*G83+'直接配方'!$F$140*G31</x:f>
        <x:v>0</x:v>
      </x:c>
      <x:c r="H86" s="34" t="n">
        <x:f>'直接配方'!$F$134*H7+'直接配方'!$F$135*H32+'直接配方'!$F$136*H80+'直接配方'!$F$137*H81+'直接配方'!$F$138*H82+'直接配方'!$F$139*H83+'直接配方'!$F$140*H31</x:f>
        <x:v>0</x:v>
      </x:c>
      <x:c r="I86" s="34" t="n">
        <x:f>'直接配方'!$F$134*I7+'直接配方'!$F$135*I32+'直接配方'!$F$136*I80+'直接配方'!$F$137*I81+'直接配方'!$F$138*I82+'直接配方'!$F$139*I83+'直接配方'!$F$140*I31</x:f>
        <x:v>0</x:v>
      </x:c>
      <x:c r="J86" s="34" t="n">
        <x:f>'直接配方'!$F$134*J7+'直接配方'!$F$135*J32+'直接配方'!$F$136*J80+'直接配方'!$F$137*J81+'直接配方'!$F$138*J82+'直接配方'!$F$139*J83+'直接配方'!$F$140*J31</x:f>
        <x:v>0</x:v>
      </x:c>
      <x:c r="K86" s="34" t="n">
        <x:f>'直接配方'!$F$134*K7+'直接配方'!$F$135*K32+'直接配方'!$F$136*K80+'直接配方'!$F$137*K81+'直接配方'!$F$138*K82+'直接配方'!$F$139*K83+'直接配方'!$F$140*K31</x:f>
        <x:v>0.4670134452370896</x:v>
      </x:c>
      <x:c r="L86" s="34" t="n">
        <x:f>'直接配方'!$F$134*L7+'直接配方'!$F$135*L32+'直接配方'!$F$136*L80+'直接配方'!$F$137*L81+'直接配方'!$F$138*L82+'直接配方'!$F$139*L83+'直接配方'!$F$140*L31</x:f>
        <x:v>0.054576219348424895</x:v>
      </x:c>
      <x:c r="M86" s="34" t="n">
        <x:f>'直接配方'!$F$134*M7+'直接配方'!$F$135*M32+'直接配方'!$F$136*M80+'直接配方'!$F$137*M81+'直接配方'!$F$138*M82+'直接配方'!$F$139*M83+'直接配方'!$F$140*M31</x:f>
        <x:v>0.08140666365338672</x:v>
      </x:c>
      <x:c r="N86" s="34" t="n">
        <x:f>'直接配方'!$F$134*N7+'直接配方'!$F$135*N32+'直接配方'!$F$136*N80+'直接配方'!$F$137*N81+'直接配方'!$F$138*N82+'直接配方'!$F$139*N83+'直接配方'!$F$140*N31</x:f>
        <x:v>0.13346871962760246</x:v>
      </x:c>
      <x:c r="O86" s="34" t="n">
        <x:f>'直接配方'!$F$134*O7+'直接配方'!$F$135*O32+'直接配方'!$F$136*O80+'直接配方'!$F$137*O81+'直接配方'!$F$138*O82+'直接配方'!$F$139*O83+'直接配方'!$F$140*O31</x:f>
        <x:v>0.05693314132894466</x:v>
      </x:c>
      <x:c r="P86" s="34" t="n">
        <x:f>'直接配方'!$F$134*P7+'直接配方'!$F$135*P32+'直接配方'!$F$136*P80+'直接配方'!$F$137*P81+'直接配方'!$F$138*P82+'直接配方'!$F$139*P83+'直接配方'!$F$140*P31</x:f>
        <x:v>0</x:v>
      </x:c>
      <x:c r="Q86" s="34" t="n">
        <x:f>'直接配方'!$F$134*Q7+'直接配方'!$F$135*Q32+'直接配方'!$F$136*Q80+'直接配方'!$F$137*Q81+'直接配方'!$F$138*Q82+'直接配方'!$F$139*Q83+'直接配方'!$F$140*Q31</x:f>
        <x:v>0</x:v>
      </x:c>
      <x:c r="R86" s="34" t="n">
        <x:f>'直接配方'!$F$134*R7+'直接配方'!$F$135*R32+'直接配方'!$F$136*R80+'直接配方'!$F$137*R81+'直接配方'!$F$138*R82+'直接配方'!$F$139*R83+'直接配方'!$F$140*R31</x:f>
        <x:v>0</x:v>
      </x:c>
      <x:c r="S86" s="34" t="n">
        <x:f>'直接配方'!$F$134*S7+'直接配方'!$F$135*S32+'直接配方'!$F$136*S80+'直接配方'!$F$137*S81+'直接配方'!$F$138*S82+'直接配方'!$F$139*S83+'直接配方'!$F$140*S31</x:f>
        <x:v>0</x:v>
      </x:c>
      <x:c r="T86" s="34" t="n">
        <x:f>'直接配方'!$F$134*T7+'直接配方'!$F$135*T32+'直接配方'!$F$136*T80+'直接配方'!$F$137*T81+'直接配方'!$F$138*T82+'直接配方'!$F$139*T83+'直接配方'!$F$140*T31</x:f>
        <x:v>0</x:v>
      </x:c>
      <x:c r="U86" s="34" t="n">
        <x:f>'直接配方'!$F$134*U7+'直接配方'!$F$135*U32+'直接配方'!$F$136*U80+'直接配方'!$F$137*U81+'直接配方'!$F$138*U82+'直接配方'!$F$139*U83+'直接配方'!$F$140*U31</x:f>
        <x:v>0</x:v>
      </x:c>
      <x:c r="V86" s="34" t="n">
        <x:f>'直接配方'!$F$134*V7+'直接配方'!$F$135*V32+'直接配方'!$F$136*V80+'直接配方'!$F$137*V81+'直接配方'!$F$138*V82+'直接配方'!$F$139*V83+'直接配方'!$F$140*V31</x:f>
        <x:v>0</x:v>
      </x:c>
      <x:c r="W86" s="34" t="n">
        <x:f>'直接配方'!$F$134*W7+'直接配方'!$F$135*W32+'直接配方'!$F$136*W80+'直接配方'!$F$137*W81+'直接配方'!$F$138*W82+'直接配方'!$F$139*W83+'直接配方'!$F$140*W31</x:f>
        <x:v>0</x:v>
      </x:c>
      <x:c r="X86" s="34" t="n">
        <x:f>'直接配方'!$F$134*X7+'直接配方'!$F$135*X32+'直接配方'!$F$136*X80+'直接配方'!$F$137*X81+'直接配方'!$F$138*X82+'直接配方'!$F$139*X83+'直接配方'!$F$140*X31</x:f>
        <x:v>0</x:v>
      </x:c>
      <x:c r="Y86" s="34" t="n">
        <x:f>'直接配方'!$F$134*Y7+'直接配方'!$F$135*Y32+'直接配方'!$F$136*Y80+'直接配方'!$F$137*Y81+'直接配方'!$F$138*Y82+'直接配方'!$F$139*Y83+'直接配方'!$F$140*Y31</x:f>
        <x:v>0</x:v>
      </x:c>
      <x:c r="Z86" s="34" t="n">
        <x:f>'直接配方'!$F$134*Z7+'直接配方'!$F$135*Z32+'直接配方'!$F$136*Z80+'直接配方'!$F$137*Z81+'直接配方'!$F$138*Z82+'直接配方'!$F$139*Z83+'直接配方'!$F$140*Z31</x:f>
        <x:v>0</x:v>
      </x:c>
      <x:c r="AA86" s="34" t="n">
        <x:f>'直接配方'!$F$134*AA7+'直接配方'!$F$135*AA32+'直接配方'!$F$136*AA80+'直接配方'!$F$137*AA81+'直接配方'!$F$138*AA82+'直接配方'!$F$139*AA83+'直接配方'!$F$140*AA31</x:f>
        <x:v>0</x:v>
      </x:c>
      <x:c r="AB86" s="34" t="n">
        <x:f>'直接配方'!$F$134*AB7+'直接配方'!$F$135*AB32+'直接配方'!$F$136*AB80+'直接配方'!$F$137*AB81+'直接配方'!$F$138*AB82+'直接配方'!$F$139*AB83+'直接配方'!$F$140*AB31</x:f>
        <x:v>0</x:v>
      </x:c>
      <x:c r="AC86" s="34" t="n">
        <x:f>'直接配方'!$F$134*AC7+'直接配方'!$F$135*AC32+'直接配方'!$F$136*AC80+'直接配方'!$F$137*AC81+'直接配方'!$F$138*AC82+'直接配方'!$F$139*AC83+'直接配方'!$F$140*AC31</x:f>
        <x:v>0.0025</x:v>
      </x:c>
    </x:row>
    <x:row r="87" ht="40" customHeight="1">
      <x:c r="A87" s="22" t="str">
        <x:v>A09</x:v>
      </x:c>
      <x:c r="B87" s="22" t="str">
        <x:v>马铃薯可食干物质</x:v>
      </x:c>
      <x:c r="C87" s="22" t="str">
        <x:v>kg可食干物质</x:v>
      </x:c>
      <x:c r="D87" s="34" t="n">
        <x:f>'直接配方'!$F$141*D7+'直接配方'!$F$142*D32+'直接配方'!$F$143*D80+'直接配方'!$F$144*D81+'直接配方'!$F$145*D82+'直接配方'!$F$146*D83+'直接配方'!$F$147*D31</x:f>
        <x:v>6.201747423978557</x:v>
      </x:c>
      <x:c r="E87" s="34" t="n">
        <x:f>'直接配方'!$F$141*E7+'直接配方'!$F$142*E32+'直接配方'!$F$143*E80+'直接配方'!$F$144*E81+'直接配方'!$F$145*E82+'直接配方'!$F$146*E83+'直接配方'!$F$147*E31</x:f>
        <x:v>2.5598340025973894</x:v>
      </x:c>
      <x:c r="F87" s="34" t="n">
        <x:f>'直接配方'!$F$141*F7+'直接配方'!$F$142*F32+'直接配方'!$F$143*F80+'直接配方'!$F$144*F81+'直接配方'!$F$145*F82+'直接配方'!$F$146*F83+'直接配方'!$F$147*F31</x:f>
        <x:v>0.026666666666666665</x:v>
      </x:c>
      <x:c r="G87" s="34" t="n">
        <x:f>'直接配方'!$F$141*G7+'直接配方'!$F$142*G32+'直接配方'!$F$143*G80+'直接配方'!$F$144*G81+'直接配方'!$F$145*G82+'直接配方'!$F$146*G83+'直接配方'!$F$147*G31</x:f>
        <x:v>0</x:v>
      </x:c>
      <x:c r="H87" s="34" t="n">
        <x:f>'直接配方'!$F$141*H7+'直接配方'!$F$142*H32+'直接配方'!$F$143*H80+'直接配方'!$F$144*H81+'直接配方'!$F$145*H82+'直接配方'!$F$146*H83+'直接配方'!$F$147*H31</x:f>
        <x:v>0</x:v>
      </x:c>
      <x:c r="I87" s="34" t="n">
        <x:f>'直接配方'!$F$141*I7+'直接配方'!$F$142*I32+'直接配方'!$F$143*I80+'直接配方'!$F$144*I81+'直接配方'!$F$145*I82+'直接配方'!$F$146*I83+'直接配方'!$F$147*I31</x:f>
        <x:v>0</x:v>
      </x:c>
      <x:c r="J87" s="34" t="n">
        <x:f>'直接配方'!$F$141*J7+'直接配方'!$F$142*J32+'直接配方'!$F$143*J80+'直接配方'!$F$144*J81+'直接配方'!$F$145*J82+'直接配方'!$F$146*J83+'直接配方'!$F$147*J31</x:f>
        <x:v>0</x:v>
      </x:c>
      <x:c r="K87" s="34" t="n">
        <x:f>'直接配方'!$F$141*K7+'直接配方'!$F$142*K32+'直接配方'!$F$143*K80+'直接配方'!$F$144*K81+'直接配方'!$F$145*K82+'直接配方'!$F$146*K83+'直接配方'!$F$147*K31</x:f>
        <x:v>0.08665558845811161</x:v>
      </x:c>
      <x:c r="L87" s="34" t="n">
        <x:f>'直接配方'!$F$141*L7+'直接配方'!$F$142*L32+'直接配方'!$F$143*L80+'直接配方'!$F$144*L81+'直接配方'!$F$145*L82+'直接配方'!$F$146*L83+'直接配方'!$F$147*L31</x:f>
        <x:v>0.02560036397733073</x:v>
      </x:c>
      <x:c r="M87" s="34" t="n">
        <x:f>'直接配方'!$F$141*M7+'直接配方'!$F$142*M32+'直接配方'!$F$143*M80+'直接配方'!$F$144*M81+'直接配方'!$F$145*M82+'直接配方'!$F$146*M83+'直接配方'!$F$147*M31</x:f>
        <x:v>0.02894459152120417</x:v>
      </x:c>
      <x:c r="N87" s="34" t="n">
        <x:f>'直接配方'!$F$141*N7+'直接配方'!$F$142*N32+'直接配方'!$F$143*N80+'直接配方'!$F$144*N81+'直接配方'!$F$145*N82+'直接配方'!$F$146*N83+'直接配方'!$F$147*N31</x:f>
        <x:v>0.07626783978720138</x:v>
      </x:c>
      <x:c r="O87" s="34" t="n">
        <x:f>'直接配方'!$F$141*O7+'直接配方'!$F$142*O32+'直接配方'!$F$143*O80+'直接配方'!$F$144*O81+'直接配方'!$F$145*O82+'直接配方'!$F$146*O83+'直接配方'!$F$147*O31</x:f>
        <x:v>0.022773256531577864</x:v>
      </x:c>
      <x:c r="P87" s="34" t="n">
        <x:f>'直接配方'!$F$141*P7+'直接配方'!$F$142*P32+'直接配方'!$F$143*P80+'直接配方'!$F$144*P81+'直接配方'!$F$145*P82+'直接配方'!$F$146*P83+'直接配方'!$F$147*P31</x:f>
        <x:v>0</x:v>
      </x:c>
      <x:c r="Q87" s="34" t="n">
        <x:f>'直接配方'!$F$141*Q7+'直接配方'!$F$142*Q32+'直接配方'!$F$143*Q80+'直接配方'!$F$144*Q81+'直接配方'!$F$145*Q82+'直接配方'!$F$146*Q83+'直接配方'!$F$147*Q31</x:f>
        <x:v>0</x:v>
      </x:c>
      <x:c r="R87" s="34" t="n">
        <x:f>'直接配方'!$F$141*R7+'直接配方'!$F$142*R32+'直接配方'!$F$143*R80+'直接配方'!$F$144*R81+'直接配方'!$F$145*R82+'直接配方'!$F$146*R83+'直接配方'!$F$147*R31</x:f>
        <x:v>0</x:v>
      </x:c>
      <x:c r="S87" s="34" t="n">
        <x:f>'直接配方'!$F$141*S7+'直接配方'!$F$142*S32+'直接配方'!$F$143*S80+'直接配方'!$F$144*S81+'直接配方'!$F$145*S82+'直接配方'!$F$146*S83+'直接配方'!$F$147*S31</x:f>
        <x:v>0</x:v>
      </x:c>
      <x:c r="T87" s="34" t="n">
        <x:f>'直接配方'!$F$141*T7+'直接配方'!$F$142*T32+'直接配方'!$F$143*T80+'直接配方'!$F$144*T81+'直接配方'!$F$145*T82+'直接配方'!$F$146*T83+'直接配方'!$F$147*T31</x:f>
        <x:v>0</x:v>
      </x:c>
      <x:c r="U87" s="34" t="n">
        <x:f>'直接配方'!$F$141*U7+'直接配方'!$F$142*U32+'直接配方'!$F$143*U80+'直接配方'!$F$144*U81+'直接配方'!$F$145*U82+'直接配方'!$F$146*U83+'直接配方'!$F$147*U31</x:f>
        <x:v>0</x:v>
      </x:c>
      <x:c r="V87" s="34" t="n">
        <x:f>'直接配方'!$F$141*V7+'直接配方'!$F$142*V32+'直接配方'!$F$143*V80+'直接配方'!$F$144*V81+'直接配方'!$F$145*V82+'直接配方'!$F$146*V83+'直接配方'!$F$147*V31</x:f>
        <x:v>0</x:v>
      </x:c>
      <x:c r="W87" s="34" t="n">
        <x:f>'直接配方'!$F$141*W7+'直接配方'!$F$142*W32+'直接配方'!$F$143*W80+'直接配方'!$F$144*W81+'直接配方'!$F$145*W82+'直接配方'!$F$146*W83+'直接配方'!$F$147*W31</x:f>
        <x:v>0</x:v>
      </x:c>
      <x:c r="X87" s="34" t="n">
        <x:f>'直接配方'!$F$141*X7+'直接配方'!$F$142*X32+'直接配方'!$F$143*X80+'直接配方'!$F$144*X81+'直接配方'!$F$145*X82+'直接配方'!$F$146*X83+'直接配方'!$F$147*X31</x:f>
        <x:v>0</x:v>
      </x:c>
      <x:c r="Y87" s="34" t="n">
        <x:f>'直接配方'!$F$141*Y7+'直接配方'!$F$142*Y32+'直接配方'!$F$143*Y80+'直接配方'!$F$144*Y81+'直接配方'!$F$145*Y82+'直接配方'!$F$146*Y83+'直接配方'!$F$147*Y31</x:f>
        <x:v>0</x:v>
      </x:c>
      <x:c r="Z87" s="34" t="n">
        <x:f>'直接配方'!$F$141*Z7+'直接配方'!$F$142*Z32+'直接配方'!$F$143*Z80+'直接配方'!$F$144*Z81+'直接配方'!$F$145*Z82+'直接配方'!$F$146*Z83+'直接配方'!$F$147*Z31</x:f>
        <x:v>0</x:v>
      </x:c>
      <x:c r="AA87" s="34" t="n">
        <x:f>'直接配方'!$F$141*AA7+'直接配方'!$F$142*AA32+'直接配方'!$F$143*AA80+'直接配方'!$F$144*AA81+'直接配方'!$F$145*AA82+'直接配方'!$F$146*AA83+'直接配方'!$F$147*AA31</x:f>
        <x:v>0</x:v>
      </x:c>
      <x:c r="AB87" s="34" t="n">
        <x:f>'直接配方'!$F$141*AB7+'直接配方'!$F$142*AB32+'直接配方'!$F$143*AB80+'直接配方'!$F$144*AB81+'直接配方'!$F$145*AB82+'直接配方'!$F$146*AB83+'直接配方'!$F$147*AB31</x:f>
        <x:v>0</x:v>
      </x:c>
      <x:c r="AC87" s="34" t="n">
        <x:f>'直接配方'!$F$141*AC7+'直接配方'!$F$142*AC32+'直接配方'!$F$143*AC80+'直接配方'!$F$144*AC81+'直接配方'!$F$145*AC82+'直接配方'!$F$146*AC83+'直接配方'!$F$147*AC31</x:f>
        <x:v>0.0013333333333333333</x:v>
      </x:c>
    </x:row>
    <x:row r="88" ht="40" customHeight="1">
      <x:c r="A88" s="22" t="str">
        <x:v>A10</x:v>
      </x:c>
      <x:c r="B88" s="22" t="str">
        <x:v>叶菜可食干物质</x:v>
      </x:c>
      <x:c r="C88" s="22" t="str">
        <x:v>kg可食干物质</x:v>
      </x:c>
      <x:c r="D88" s="34" t="n">
        <x:f>'直接配方'!$F$148*D7+'直接配方'!$F$149*D32+'直接配方'!$F$150*D80+'直接配方'!$F$151*D81+'直接配方'!$F$152*D82+'直接配方'!$F$153*D83+'直接配方'!$F$154*D31</x:f>
        <x:v>5.472916377471801</x:v>
      </x:c>
      <x:c r="E88" s="34" t="n">
        <x:f>'直接配方'!$F$148*E7+'直接配方'!$F$149*E32+'直接配方'!$F$150*E80+'直接配方'!$F$151*E81+'直接配方'!$F$152*E82+'直接配方'!$F$153*E83+'直接配方'!$F$154*E31</x:f>
        <x:v>2.3494329252601482</x:v>
      </x:c>
      <x:c r="F88" s="34" t="n">
        <x:f>'直接配方'!$F$148*F7+'直接配方'!$F$149*F32+'直接配方'!$F$150*F80+'直接配方'!$F$151*F81+'直接配方'!$F$152*F82+'直接配方'!$F$153*F83+'直接配方'!$F$154*F31</x:f>
        <x:v>0.0411764705882353</x:v>
      </x:c>
      <x:c r="G88" s="34" t="n">
        <x:f>'直接配方'!$F$148*G7+'直接配方'!$F$149*G32+'直接配方'!$F$150*G80+'直接配方'!$F$151*G81+'直接配方'!$F$152*G82+'直接配方'!$F$153*G83+'直接配方'!$F$154*G31</x:f>
        <x:v>0</x:v>
      </x:c>
      <x:c r="H88" s="34" t="n">
        <x:f>'直接配方'!$F$148*H7+'直接配方'!$F$149*H32+'直接配方'!$F$150*H80+'直接配方'!$F$151*H81+'直接配方'!$F$152*H82+'直接配方'!$F$153*H83+'直接配方'!$F$154*H31</x:f>
        <x:v>0</x:v>
      </x:c>
      <x:c r="I88" s="34" t="n">
        <x:f>'直接配方'!$F$148*I7+'直接配方'!$F$149*I32+'直接配方'!$F$150*I80+'直接配方'!$F$151*I81+'直接配方'!$F$152*I82+'直接配方'!$F$153*I83+'直接配方'!$F$154*I31</x:f>
        <x:v>0</x:v>
      </x:c>
      <x:c r="J88" s="34" t="n">
        <x:f>'直接配方'!$F$148*J7+'直接配方'!$F$149*J32+'直接配方'!$F$150*J80+'直接配方'!$F$151*J81+'直接配方'!$F$152*J82+'直接配方'!$F$153*J83+'直接配方'!$F$154*J31</x:f>
        <x:v>0</x:v>
      </x:c>
      <x:c r="K88" s="34" t="n">
        <x:f>'直接配方'!$F$148*K7+'直接配方'!$F$149*K32+'直接配方'!$F$150*K80+'直接配方'!$F$151*K81+'直接配方'!$F$152*K82+'直接配方'!$F$153*K83+'直接配方'!$F$154*K31</x:f>
        <x:v>0.13760794189560444</x:v>
      </x:c>
      <x:c r="L88" s="34" t="n">
        <x:f>'直接配方'!$F$148*L7+'直接配方'!$F$149*L32+'直接配方'!$F$150*L80+'直接配方'!$F$151*L81+'直接配方'!$F$152*L82+'直接配方'!$F$153*L83+'直接配方'!$F$154*L31</x:f>
        <x:v>0.03426503962476108</x:v>
      </x:c>
      <x:c r="M88" s="34" t="n">
        <x:f>'直接配方'!$F$148*M7+'直接配方'!$F$149*M32+'直接配方'!$F$150*M80+'直接配方'!$F$151*M81+'直接配方'!$F$152*M82+'直接配方'!$F$153*M83+'直接配方'!$F$154*M31</x:f>
        <x:v>0.031924181824857546</x:v>
      </x:c>
      <x:c r="N88" s="34" t="n">
        <x:f>'直接配方'!$F$148*N7+'直接配方'!$F$149*N32+'直接配方'!$F$150*N80+'直接配方'!$F$151*N81+'直接配方'!$F$152*N82+'直接配方'!$F$153*N83+'直接配方'!$F$154*N31</x:f>
        <x:v>0.112158587922355</x:v>
      </x:c>
      <x:c r="O88" s="34" t="n">
        <x:f>'直接配方'!$F$148*O7+'直接配方'!$F$149*O32+'直接配方'!$F$150*O80+'直接配方'!$F$151*O81+'直接配方'!$F$152*O82+'直接配方'!$F$153*O83+'直接配方'!$F$154*O31</x:f>
        <x:v>0.03349008313467334</x:v>
      </x:c>
      <x:c r="P88" s="34" t="n">
        <x:f>'直接配方'!$F$148*P7+'直接配方'!$F$149*P32+'直接配方'!$F$150*P80+'直接配方'!$F$151*P81+'直接配方'!$F$152*P82+'直接配方'!$F$153*P83+'直接配方'!$F$154*P31</x:f>
        <x:v>0</x:v>
      </x:c>
      <x:c r="Q88" s="34" t="n">
        <x:f>'直接配方'!$F$148*Q7+'直接配方'!$F$149*Q32+'直接配方'!$F$150*Q80+'直接配方'!$F$151*Q81+'直接配方'!$F$152*Q82+'直接配方'!$F$153*Q83+'直接配方'!$F$154*Q31</x:f>
        <x:v>0</x:v>
      </x:c>
      <x:c r="R88" s="34" t="n">
        <x:f>'直接配方'!$F$148*R7+'直接配方'!$F$149*R32+'直接配方'!$F$150*R80+'直接配方'!$F$151*R81+'直接配方'!$F$152*R82+'直接配方'!$F$153*R83+'直接配方'!$F$154*R31</x:f>
        <x:v>0</x:v>
      </x:c>
      <x:c r="S88" s="34" t="n">
        <x:f>'直接配方'!$F$148*S7+'直接配方'!$F$149*S32+'直接配方'!$F$150*S80+'直接配方'!$F$151*S81+'直接配方'!$F$152*S82+'直接配方'!$F$153*S83+'直接配方'!$F$154*S31</x:f>
        <x:v>0</x:v>
      </x:c>
      <x:c r="T88" s="34" t="n">
        <x:f>'直接配方'!$F$148*T7+'直接配方'!$F$149*T32+'直接配方'!$F$150*T80+'直接配方'!$F$151*T81+'直接配方'!$F$152*T82+'直接配方'!$F$153*T83+'直接配方'!$F$154*T31</x:f>
        <x:v>0</x:v>
      </x:c>
      <x:c r="U88" s="34" t="n">
        <x:f>'直接配方'!$F$148*U7+'直接配方'!$F$149*U32+'直接配方'!$F$150*U80+'直接配方'!$F$151*U81+'直接配方'!$F$152*U82+'直接配方'!$F$153*U83+'直接配方'!$F$154*U31</x:f>
        <x:v>0</x:v>
      </x:c>
      <x:c r="V88" s="34" t="n">
        <x:f>'直接配方'!$F$148*V7+'直接配方'!$F$149*V32+'直接配方'!$F$150*V80+'直接配方'!$F$151*V81+'直接配方'!$F$152*V82+'直接配方'!$F$153*V83+'直接配方'!$F$154*V31</x:f>
        <x:v>0</x:v>
      </x:c>
      <x:c r="W88" s="34" t="n">
        <x:f>'直接配方'!$F$148*W7+'直接配方'!$F$149*W32+'直接配方'!$F$150*W80+'直接配方'!$F$151*W81+'直接配方'!$F$152*W82+'直接配方'!$F$153*W83+'直接配方'!$F$154*W31</x:f>
        <x:v>0</x:v>
      </x:c>
      <x:c r="X88" s="34" t="n">
        <x:f>'直接配方'!$F$148*X7+'直接配方'!$F$149*X32+'直接配方'!$F$150*X80+'直接配方'!$F$151*X81+'直接配方'!$F$152*X82+'直接配方'!$F$153*X83+'直接配方'!$F$154*X31</x:f>
        <x:v>0</x:v>
      </x:c>
      <x:c r="Y88" s="34" t="n">
        <x:f>'直接配方'!$F$148*Y7+'直接配方'!$F$149*Y32+'直接配方'!$F$150*Y80+'直接配方'!$F$151*Y81+'直接配方'!$F$152*Y82+'直接配方'!$F$153*Y83+'直接配方'!$F$154*Y31</x:f>
        <x:v>0</x:v>
      </x:c>
      <x:c r="Z88" s="34" t="n">
        <x:f>'直接配方'!$F$148*Z7+'直接配方'!$F$149*Z32+'直接配方'!$F$150*Z80+'直接配方'!$F$151*Z81+'直接配方'!$F$152*Z82+'直接配方'!$F$153*Z83+'直接配方'!$F$154*Z31</x:f>
        <x:v>0</x:v>
      </x:c>
      <x:c r="AA88" s="34" t="n">
        <x:f>'直接配方'!$F$148*AA7+'直接配方'!$F$149*AA32+'直接配方'!$F$150*AA80+'直接配方'!$F$151*AA81+'直接配方'!$F$152*AA82+'直接配方'!$F$153*AA83+'直接配方'!$F$154*AA31</x:f>
        <x:v>0</x:v>
      </x:c>
      <x:c r="AB88" s="34" t="n">
        <x:f>'直接配方'!$F$148*AB7+'直接配方'!$F$149*AB32+'直接配方'!$F$150*AB80+'直接配方'!$F$151*AB81+'直接配方'!$F$152*AB82+'直接配方'!$F$153*AB83+'直接配方'!$F$154*AB31</x:f>
        <x:v>0</x:v>
      </x:c>
      <x:c r="AC88" s="34" t="n">
        <x:f>'直接配方'!$F$148*AC7+'直接配方'!$F$149*AC32+'直接配方'!$F$150*AC80+'直接配方'!$F$151*AC81+'直接配方'!$F$152*AC82+'直接配方'!$F$153*AC83+'直接配方'!$F$154*AC31</x:f>
        <x:v>0.0011764705882352942</x:v>
      </x:c>
    </x:row>
    <x:row r="89" ht="40" customHeight="1">
      <x:c r="A89" s="22" t="str">
        <x:v>A11</x:v>
      </x:c>
      <x:c r="B89" s="22" t="str">
        <x:v>循环水培栽培模块</x:v>
      </x:c>
      <x:c r="C89" s="22" t="str">
        <x:v>m²栽培面积</x:v>
      </x:c>
      <x:c r="D89" s="34" t="n">
        <x:f>'直接配方'!$F$155*D37+'直接配方'!$F$156*D46+'直接配方'!$F$157*D50+'直接配方'!$F$158*D69+'直接配方'!$F$159*D27</x:f>
        <x:v>14.337404786232328</x:v>
      </x:c>
      <x:c r="E89" s="34" t="n">
        <x:f>'直接配方'!$F$155*E37+'直接配方'!$F$156*E46+'直接配方'!$F$157*E50+'直接配方'!$F$158*E69+'直接配方'!$F$159*E27</x:f>
        <x:v>9.472376460601813</x:v>
      </x:c>
      <x:c r="F89" s="34" t="n">
        <x:f>'直接配方'!$F$155*F37+'直接配方'!$F$156*F46+'直接配方'!$F$157*F50+'直接配方'!$F$158*F69+'直接配方'!$F$159*F27</x:f>
        <x:v>0</x:v>
      </x:c>
      <x:c r="G89" s="34" t="n">
        <x:f>'直接配方'!$F$155*G37+'直接配方'!$F$156*G46+'直接配方'!$F$157*G50+'直接配方'!$F$158*G69+'直接配方'!$F$159*G27</x:f>
        <x:v>0</x:v>
      </x:c>
      <x:c r="H89" s="34" t="n">
        <x:f>'直接配方'!$F$155*H37+'直接配方'!$F$156*H46+'直接配方'!$F$157*H50+'直接配方'!$F$158*H69+'直接配方'!$F$159*H27</x:f>
        <x:v>1.1666666666666667</x:v>
      </x:c>
      <x:c r="I89" s="34" t="n">
        <x:f>'直接配方'!$F$155*I37+'直接配方'!$F$156*I46+'直接配方'!$F$157*I50+'直接配方'!$F$158*I69+'直接配方'!$F$159*I27</x:f>
        <x:v>0.008481969954419185</x:v>
      </x:c>
      <x:c r="J89" s="34" t="n">
        <x:f>'直接配方'!$F$155*J37+'直接配方'!$F$156*J46+'直接配方'!$F$157*J50+'直接配方'!$F$158*J69+'直接配方'!$F$159*J27</x:f>
        <x:v>7.990497856567284</x:v>
      </x:c>
      <x:c r="K89" s="34" t="n">
        <x:f>'直接配方'!$F$155*K37+'直接配方'!$F$156*K46+'直接配方'!$F$157*K50+'直接配方'!$F$158*K69+'直接配方'!$F$159*K27</x:f>
        <x:v>0</x:v>
      </x:c>
      <x:c r="L89" s="34" t="n">
        <x:f>'直接配方'!$F$155*L37+'直接配方'!$F$156*L46+'直接配方'!$F$157*L50+'直接配方'!$F$158*L69+'直接配方'!$F$159*L27</x:f>
        <x:v>0</x:v>
      </x:c>
      <x:c r="M89" s="34" t="n">
        <x:f>'直接配方'!$F$155*M37+'直接配方'!$F$156*M46+'直接配方'!$F$157*M50+'直接配方'!$F$158*M69+'直接配方'!$F$159*M27</x:f>
        <x:v>0</x:v>
      </x:c>
      <x:c r="N89" s="34" t="n">
        <x:f>'直接配方'!$F$155*N37+'直接配方'!$F$156*N46+'直接配方'!$F$157*N50+'直接配方'!$F$158*N69+'直接配方'!$F$159*N27</x:f>
        <x:v>0</x:v>
      </x:c>
      <x:c r="O89" s="34" t="n">
        <x:f>'直接配方'!$F$155*O37+'直接配方'!$F$156*O46+'直接配方'!$F$157*O50+'直接配方'!$F$158*O69+'直接配方'!$F$159*O27</x:f>
        <x:v>0</x:v>
      </x:c>
      <x:c r="P89" s="34" t="n">
        <x:f>'直接配方'!$F$155*P37+'直接配方'!$F$156*P46+'直接配方'!$F$157*P50+'直接配方'!$F$158*P69+'直接配方'!$F$159*P27</x:f>
        <x:v>0</x:v>
      </x:c>
      <x:c r="Q89" s="34" t="n">
        <x:f>'直接配方'!$F$155*Q37+'直接配方'!$F$156*Q46+'直接配方'!$F$157*Q50+'直接配方'!$F$158*Q69+'直接配方'!$F$159*Q27</x:f>
        <x:v>0.09388277783023323</x:v>
      </x:c>
      <x:c r="R89" s="34" t="n">
        <x:f>'直接配方'!$F$155*R37+'直接配方'!$F$156*R46+'直接配方'!$F$157*R50+'直接配方'!$F$158*R69+'直接配方'!$F$159*R27</x:f>
        <x:v>0</x:v>
      </x:c>
      <x:c r="S89" s="34" t="n">
        <x:f>'直接配方'!$F$155*S37+'直接配方'!$F$156*S46+'直接配方'!$F$157*S50+'直接配方'!$F$158*S69+'直接配方'!$F$159*S27</x:f>
        <x:v>0</x:v>
      </x:c>
      <x:c r="T89" s="34" t="n">
        <x:f>'直接配方'!$F$155*T37+'直接配方'!$F$156*T46+'直接配方'!$F$157*T50+'直接配方'!$F$158*T69+'直接配方'!$F$159*T27</x:f>
        <x:v>0</x:v>
      </x:c>
      <x:c r="U89" s="34" t="n">
        <x:f>'直接配方'!$F$155*U37+'直接配方'!$F$156*U46+'直接配方'!$F$157*U50+'直接配方'!$F$158*U69+'直接配方'!$F$159*U27</x:f>
        <x:v>0</x:v>
      </x:c>
      <x:c r="V89" s="34" t="n">
        <x:f>'直接配方'!$F$155*V37+'直接配方'!$F$156*V46+'直接配方'!$F$157*V50+'直接配方'!$F$158*V69+'直接配方'!$F$159*V27</x:f>
        <x:v>0</x:v>
      </x:c>
      <x:c r="W89" s="34" t="n">
        <x:f>'直接配方'!$F$155*W37+'直接配方'!$F$156*W46+'直接配方'!$F$157*W50+'直接配方'!$F$158*W69+'直接配方'!$F$159*W27</x:f>
        <x:v>0</x:v>
      </x:c>
      <x:c r="X89" s="34" t="n">
        <x:f>'直接配方'!$F$155*X37+'直接配方'!$F$156*X46+'直接配方'!$F$157*X50+'直接配方'!$F$158*X69+'直接配方'!$F$159*X27</x:f>
        <x:v>0</x:v>
      </x:c>
      <x:c r="Y89" s="34" t="n">
        <x:f>'直接配方'!$F$155*Y37+'直接配方'!$F$156*Y46+'直接配方'!$F$157*Y50+'直接配方'!$F$158*Y69+'直接配方'!$F$159*Y27</x:f>
        <x:v>0.115</x:v>
      </x:c>
      <x:c r="Z89" s="34" t="n">
        <x:f>'直接配方'!$F$155*Z37+'直接配方'!$F$156*Z46+'直接配方'!$F$157*Z50+'直接配方'!$F$158*Z69+'直接配方'!$F$159*Z27</x:f>
        <x:v>0.025</x:v>
      </x:c>
      <x:c r="AA89" s="34" t="n">
        <x:f>'直接配方'!$F$155*AA37+'直接配方'!$F$156*AA46+'直接配方'!$F$157*AA50+'直接配方'!$F$158*AA69+'直接配方'!$F$159*AA27</x:f>
        <x:v>0</x:v>
      </x:c>
      <x:c r="AB89" s="34" t="n">
        <x:f>'直接配方'!$F$155*AB37+'直接配方'!$F$156*AB46+'直接配方'!$F$157*AB50+'直接配方'!$F$158*AB69+'直接配方'!$F$159*AB27</x:f>
        <x:v>0</x:v>
      </x:c>
      <x:c r="AC89" s="34" t="n">
        <x:f>'直接配方'!$F$155*AC37+'直接配方'!$F$156*AC46+'直接配方'!$F$157*AC50+'直接配方'!$F$158*AC69+'直接配方'!$F$159*AC27</x:f>
        <x:v>0</x:v>
      </x:c>
    </x:row>
    <x:row r="90" ht="40" customHeight="1">
      <x:c r="A90" s="22" t="str">
        <x:v>M_CELL</x:v>
      </x:c>
      <x:c r="B90" s="22" t="str">
        <x:v>晶硅电池片组</x:v>
      </x:c>
      <x:c r="C90" s="22" t="str">
        <x:v>组/m²组件</x:v>
      </x:c>
      <x:c r="D90" s="34" t="n">
        <x:f>'直接配方'!$F$160*D44+'直接配方'!$F$161*D41+'直接配方'!$F$162*D40+'直接配方'!$F$163*D23+'直接配方'!$F$164*D15+'直接配方'!$F$165*D38+'直接配方'!$F$166*D30</x:f>
        <x:v>1.6812217098314948</x:v>
      </x:c>
      <x:c r="E90" s="34" t="n">
        <x:f>'直接配方'!$F$160*E44+'直接配方'!$F$161*E41+'直接配方'!$F$162*E40+'直接配方'!$F$163*E23+'直接配方'!$F$164*E15+'直接配方'!$F$165*E38+'直接配方'!$F$166*E30</x:f>
        <x:v>2.049873934877831</x:v>
      </x:c>
      <x:c r="F90" s="34" t="n">
        <x:f>'直接配方'!$F$160*F44+'直接配方'!$F$161*F41+'直接配方'!$F$162*F40+'直接配方'!$F$163*F23+'直接配方'!$F$164*F15+'直接配方'!$F$165*F38+'直接配方'!$F$166*F30</x:f>
        <x:v>0</x:v>
      </x:c>
      <x:c r="G90" s="34" t="n">
        <x:f>'直接配方'!$F$160*G44+'直接配方'!$F$161*G41+'直接配方'!$F$162*G40+'直接配方'!$F$163*G23+'直接配方'!$F$164*G15+'直接配方'!$F$165*G38+'直接配方'!$F$166*G30</x:f>
        <x:v>0</x:v>
      </x:c>
      <x:c r="H90" s="34" t="n">
        <x:f>'直接配方'!$F$160*H44+'直接配方'!$F$161*H41+'直接配方'!$F$162*H40+'直接配方'!$F$163*H23+'直接配方'!$F$164*H15+'直接配方'!$F$165*H38+'直接配方'!$F$166*H30</x:f>
        <x:v>0</x:v>
      </x:c>
      <x:c r="I90" s="34" t="n">
        <x:f>'直接配方'!$F$160*I44+'直接配方'!$F$161*I41+'直接配方'!$F$162*I40+'直接配方'!$F$163*I23+'直接配方'!$F$164*I15+'直接配方'!$F$165*I38+'直接配方'!$F$166*I30</x:f>
        <x:v>1.3803596335300805</x:v>
      </x:c>
      <x:c r="J90" s="34" t="n">
        <x:f>'直接配方'!$F$160*J44+'直接配方'!$F$161*J41+'直接配方'!$F$162*J40+'直接配方'!$F$163*J23+'直接配方'!$F$164*J15+'直接配方'!$F$165*J38+'直接配方'!$F$166*J30</x:f>
        <x:v>0</x:v>
      </x:c>
      <x:c r="K90" s="34" t="n">
        <x:f>'直接配方'!$F$160*K44+'直接配方'!$F$161*K41+'直接配方'!$F$162*K40+'直接配方'!$F$163*K23+'直接配方'!$F$164*K15+'直接配方'!$F$165*K38+'直接配方'!$F$166*K30</x:f>
        <x:v>0</x:v>
      </x:c>
      <x:c r="L90" s="34" t="n">
        <x:f>'直接配方'!$F$160*L44+'直接配方'!$F$161*L41+'直接配方'!$F$162*L40+'直接配方'!$F$163*L23+'直接配方'!$F$164*L15+'直接配方'!$F$165*L38+'直接配方'!$F$166*L30</x:f>
        <x:v>0</x:v>
      </x:c>
      <x:c r="M90" s="34" t="n">
        <x:f>'直接配方'!$F$160*M44+'直接配方'!$F$161*M41+'直接配方'!$F$162*M40+'直接配方'!$F$163*M23+'直接配方'!$F$164*M15+'直接配方'!$F$165*M38+'直接配方'!$F$166*M30</x:f>
        <x:v>0.00002</x:v>
      </x:c>
      <x:c r="N90" s="34" t="n">
        <x:f>'直接配方'!$F$160*N44+'直接配方'!$F$161*N41+'直接配方'!$F$162*N40+'直接配方'!$F$163*N23+'直接配方'!$F$164*N15+'直接配方'!$F$165*N38+'直接配方'!$F$166*N30</x:f>
        <x:v>0</x:v>
      </x:c>
      <x:c r="O90" s="34" t="n">
        <x:f>'直接配方'!$F$160*O44+'直接配方'!$F$161*O41+'直接配方'!$F$162*O40+'直接配方'!$F$163*O23+'直接配方'!$F$164*O15+'直接配方'!$F$165*O38+'直接配方'!$F$166*O30</x:f>
        <x:v>0</x:v>
      </x:c>
      <x:c r="P90" s="34" t="n">
        <x:f>'直接配方'!$F$160*P44+'直接配方'!$F$161*P41+'直接配方'!$F$162*P40+'直接配方'!$F$163*P23+'直接配方'!$F$164*P15+'直接配方'!$F$165*P38+'直接配方'!$F$166*P30</x:f>
        <x:v>0</x:v>
      </x:c>
      <x:c r="Q90" s="34" t="n">
        <x:f>'直接配方'!$F$160*Q44+'直接配方'!$F$161*Q41+'直接配方'!$F$162*Q40+'直接配方'!$F$163*Q23+'直接配方'!$F$164*Q15+'直接配方'!$F$165*Q38+'直接配方'!$F$166*Q30</x:f>
        <x:v>0.025035407421395525</x:v>
      </x:c>
      <x:c r="R90" s="34" t="n">
        <x:f>'直接配方'!$F$160*R44+'直接配方'!$F$161*R41+'直接配方'!$F$162*R40+'直接配方'!$F$163*R23+'直接配方'!$F$164*R15+'直接配方'!$F$165*R38+'直接配方'!$F$166*R30</x:f>
        <x:v>0</x:v>
      </x:c>
      <x:c r="S90" s="34" t="n">
        <x:f>'直接配方'!$F$160*S44+'直接配方'!$F$161*S41+'直接配方'!$F$162*S40+'直接配方'!$F$163*S23+'直接配方'!$F$164*S15+'直接配方'!$F$165*S38+'直接配方'!$F$166*S30</x:f>
        <x:v>0.037788525683789195</x:v>
      </x:c>
      <x:c r="T90" s="34" t="n">
        <x:f>'直接配方'!$F$160*T44+'直接配方'!$F$161*T41+'直接配方'!$F$162*T40+'直接配方'!$F$163*T23+'直接配方'!$F$164*T15+'直接配方'!$F$165*T38+'直接配方'!$F$166*T30</x:f>
        <x:v>0.009188858254796132</x:v>
      </x:c>
      <x:c r="U90" s="34" t="n">
        <x:f>'直接配方'!$F$160*U44+'直接配方'!$F$161*U41+'直接配方'!$F$162*U40+'直接配方'!$F$163*U23+'直接配方'!$F$164*U15+'直接配方'!$F$165*U38+'直接配方'!$F$166*U30</x:f>
        <x:v>0.00001</x:v>
      </x:c>
      <x:c r="V90" s="34" t="n">
        <x:f>'直接配方'!$F$160*V44+'直接配方'!$F$161*V41+'直接配方'!$F$162*V40+'直接配方'!$F$163*V23+'直接配方'!$F$164*V15+'直接配方'!$F$165*V38+'直接配方'!$F$166*V30</x:f>
        <x:v>0</x:v>
      </x:c>
      <x:c r="W90" s="34" t="n">
        <x:f>'直接配方'!$F$160*W44+'直接配方'!$F$161*W41+'直接配方'!$F$162*W40+'直接配方'!$F$163*W23+'直接配方'!$F$164*W15+'直接配方'!$F$165*W38+'直接配方'!$F$166*W30</x:f>
        <x:v>0</x:v>
      </x:c>
      <x:c r="X90" s="34" t="n">
        <x:f>'直接配方'!$F$160*X44+'直接配方'!$F$161*X41+'直接配方'!$F$162*X40+'直接配方'!$F$163*X23+'直接配方'!$F$164*X15+'直接配方'!$F$165*X38+'直接配方'!$F$166*X30</x:f>
        <x:v>0</x:v>
      </x:c>
      <x:c r="Y90" s="34" t="n">
        <x:f>'直接配方'!$F$160*Y44+'直接配方'!$F$161*Y41+'直接配方'!$F$162*Y40+'直接配方'!$F$163*Y23+'直接配方'!$F$164*Y15+'直接配方'!$F$165*Y38+'直接配方'!$F$166*Y30</x:f>
        <x:v>0</x:v>
      </x:c>
      <x:c r="Z90" s="34" t="n">
        <x:f>'直接配方'!$F$160*Z44+'直接配方'!$F$161*Z41+'直接配方'!$F$162*Z40+'直接配方'!$F$163*Z23+'直接配方'!$F$164*Z15+'直接配方'!$F$165*Z38+'直接配方'!$F$166*Z30</x:f>
        <x:v>0</x:v>
      </x:c>
      <x:c r="AA90" s="34" t="n">
        <x:f>'直接配方'!$F$160*AA44+'直接配方'!$F$161*AA41+'直接配方'!$F$162*AA40+'直接配方'!$F$163*AA23+'直接配方'!$F$164*AA15+'直接配方'!$F$165*AA38+'直接配方'!$F$166*AA30</x:f>
        <x:v>0</x:v>
      </x:c>
      <x:c r="AB90" s="34" t="n">
        <x:f>'直接配方'!$F$160*AB44+'直接配方'!$F$161*AB41+'直接配方'!$F$162*AB40+'直接配方'!$F$163*AB23+'直接配方'!$F$164*AB15+'直接配方'!$F$165*AB38+'直接配方'!$F$166*AB30</x:f>
        <x:v>0.05</x:v>
      </x:c>
      <x:c r="AC90" s="34" t="n">
        <x:f>'直接配方'!$F$160*AC44+'直接配方'!$F$161*AC41+'直接配方'!$F$162*AC40+'直接配方'!$F$163*AC23+'直接配方'!$F$164*AC15+'直接配方'!$F$165*AC38+'直接配方'!$F$166*AC30</x:f>
        <x:v>0</x:v>
      </x:c>
    </x:row>
    <x:row r="91" ht="40" customHeight="1">
      <x:c r="A91" s="22" t="str">
        <x:v>E01</x:v>
      </x:c>
      <x:c r="B91" s="22" t="str">
        <x:v>晶硅太阳能板</x:v>
      </x:c>
      <x:c r="C91" s="22" t="str">
        <x:v>m²组件</x:v>
      </x:c>
      <x:c r="D91" s="34" t="n">
        <x:f>'直接配方'!$F$167*D90+'直接配方'!$F$168*D48+'直接配方'!$F$169*D40+'直接配方'!$F$170*D38+'直接配方'!$F$171*D42+'直接配方'!$F$172*D47+'直接配方'!$F$173*D27</x:f>
        <x:v>4.17741949265918</x:v>
      </x:c>
      <x:c r="E91" s="34" t="n">
        <x:f>'直接配方'!$F$167*E90+'直接配方'!$F$168*E48+'直接配方'!$F$169*E40+'直接配方'!$F$170*E38+'直接配方'!$F$171*E42+'直接配方'!$F$172*E47+'直接配方'!$F$173*E27</x:f>
        <x:v>4.697516403520742</x:v>
      </x:c>
      <x:c r="F91" s="34" t="n">
        <x:f>'直接配方'!$F$167*F90+'直接配方'!$F$168*F48+'直接配方'!$F$169*F40+'直接配方'!$F$170*F38+'直接配方'!$F$171*F42+'直接配方'!$F$172*F47+'直接配方'!$F$173*F27</x:f>
        <x:v>0</x:v>
      </x:c>
      <x:c r="G91" s="34" t="n">
        <x:f>'直接配方'!$F$167*G90+'直接配方'!$F$168*G48+'直接配方'!$F$169*G40+'直接配方'!$F$170*G38+'直接配方'!$F$171*G42+'直接配方'!$F$172*G47+'直接配方'!$F$173*G27</x:f>
        <x:v>0</x:v>
      </x:c>
      <x:c r="H91" s="34" t="n">
        <x:f>'直接配方'!$F$167*H90+'直接配方'!$F$168*H48+'直接配方'!$F$169*H40+'直接配方'!$F$170*H38+'直接配方'!$F$171*H42+'直接配方'!$F$172*H47+'直接配方'!$F$173*H27</x:f>
        <x:v>0</x:v>
      </x:c>
      <x:c r="I91" s="34" t="n">
        <x:f>'直接配方'!$F$167*I90+'直接配方'!$F$168*I48+'直接配方'!$F$169*I40+'直接配方'!$F$170*I38+'直接配方'!$F$171*I42+'直接配方'!$F$172*I47+'直接配方'!$F$173*I27</x:f>
        <x:v>11.129665274848362</x:v>
      </x:c>
      <x:c r="J91" s="34" t="n">
        <x:f>'直接配方'!$F$167*J90+'直接配方'!$F$168*J48+'直接配方'!$F$169*J40+'直接配方'!$F$170*J38+'直接配方'!$F$171*J42+'直接配方'!$F$172*J47+'直接配方'!$F$173*J27</x:f>
        <x:v>0</x:v>
      </x:c>
      <x:c r="K91" s="34" t="n">
        <x:f>'直接配方'!$F$167*K90+'直接配方'!$F$168*K48+'直接配方'!$F$169*K40+'直接配方'!$F$170*K38+'直接配方'!$F$171*K42+'直接配方'!$F$172*K47+'直接配方'!$F$173*K27</x:f>
        <x:v>0</x:v>
      </x:c>
      <x:c r="L91" s="34" t="n">
        <x:f>'直接配方'!$F$167*L90+'直接配方'!$F$168*L48+'直接配方'!$F$169*L40+'直接配方'!$F$170*L38+'直接配方'!$F$171*L42+'直接配方'!$F$172*L47+'直接配方'!$F$173*L27</x:f>
        <x:v>0</x:v>
      </x:c>
      <x:c r="M91" s="34" t="n">
        <x:f>'直接配方'!$F$167*M90+'直接配方'!$F$168*M48+'直接配方'!$F$169*M40+'直接配方'!$F$170*M38+'直接配方'!$F$171*M42+'直接配方'!$F$172*M47+'直接配方'!$F$173*M27</x:f>
        <x:v>0.00002</x:v>
      </x:c>
      <x:c r="N91" s="34" t="n">
        <x:f>'直接配方'!$F$167*N90+'直接配方'!$F$168*N48+'直接配方'!$F$169*N40+'直接配方'!$F$170*N38+'直接配方'!$F$171*N42+'直接配方'!$F$172*N47+'直接配方'!$F$173*N27</x:f>
        <x:v>0</x:v>
      </x:c>
      <x:c r="O91" s="34" t="n">
        <x:f>'直接配方'!$F$167*O90+'直接配方'!$F$168*O48+'直接配方'!$F$169*O40+'直接配方'!$F$170*O38+'直接配方'!$F$171*O42+'直接配方'!$F$172*O47+'直接配方'!$F$173*O27</x:f>
        <x:v>0</x:v>
      </x:c>
      <x:c r="P91" s="34" t="n">
        <x:f>'直接配方'!$F$167*P90+'直接配方'!$F$168*P48+'直接配方'!$F$169*P40+'直接配方'!$F$170*P38+'直接配方'!$F$171*P42+'直接配方'!$F$172*P47+'直接配方'!$F$173*P27</x:f>
        <x:v>0</x:v>
      </x:c>
      <x:c r="Q91" s="34" t="n">
        <x:f>'直接配方'!$F$167*Q90+'直接配方'!$F$168*Q48+'直接配方'!$F$169*Q40+'直接配方'!$F$170*Q38+'直接配方'!$F$171*Q42+'直接配方'!$F$172*Q47+'直接配方'!$F$173*Q27</x:f>
        <x:v>0.17524785194976866</x:v>
      </x:c>
      <x:c r="R91" s="34" t="n">
        <x:f>'直接配方'!$F$167*R90+'直接配方'!$F$168*R48+'直接配方'!$F$169*R40+'直接配方'!$F$170*R38+'直接配方'!$F$171*R42+'直接配方'!$F$172*R47+'直接配方'!$F$173*R27</x:f>
        <x:v>0</x:v>
      </x:c>
      <x:c r="S91" s="34" t="n">
        <x:f>'直接配方'!$F$167*S90+'直接配方'!$F$168*S48+'直接配方'!$F$169*S40+'直接配方'!$F$170*S38+'直接配方'!$F$171*S42+'直接配方'!$F$172*S47+'直接配方'!$F$173*S27</x:f>
        <x:v>1.9272148098732487</x:v>
      </x:c>
      <x:c r="T91" s="34" t="n">
        <x:f>'直接配方'!$F$167*T90+'直接配方'!$F$168*T48+'直接配方'!$F$169*T40+'直接配方'!$F$170*T38+'直接配方'!$F$171*T42+'直接配方'!$F$172*T47+'直接配方'!$F$173*T27</x:f>
        <x:v>0.009188858254796132</x:v>
      </x:c>
      <x:c r="U91" s="34" t="n">
        <x:f>'直接配方'!$F$167*U90+'直接配方'!$F$168*U48+'直接配方'!$F$169*U40+'直接配方'!$F$170*U38+'直接配方'!$F$171*U42+'直接配方'!$F$172*U47+'直接配方'!$F$173*U27</x:f>
        <x:v>0.00001</x:v>
      </x:c>
      <x:c r="V91" s="34" t="n">
        <x:f>'直接配方'!$F$167*V90+'直接配方'!$F$168*V48+'直接配方'!$F$169*V40+'直接配方'!$F$170*V38+'直接配方'!$F$171*V42+'直接配方'!$F$172*V47+'直接配方'!$F$173*V27</x:f>
        <x:v>0</x:v>
      </x:c>
      <x:c r="W91" s="34" t="n">
        <x:f>'直接配方'!$F$167*W90+'直接配方'!$F$168*W48+'直接配方'!$F$169*W40+'直接配方'!$F$170*W38+'直接配方'!$F$171*W42+'直接配方'!$F$172*W47+'直接配方'!$F$173*W27</x:f>
        <x:v>0.012695476370988125</x:v>
      </x:c>
      <x:c r="X91" s="34" t="n">
        <x:f>'直接配方'!$F$167*X90+'直接配方'!$F$168*X48+'直接配方'!$F$169*X40+'直接配方'!$F$170*X38+'直接配方'!$F$171*X42+'直接配方'!$F$172*X47+'直接配方'!$F$173*X27</x:f>
        <x:v>0</x:v>
      </x:c>
      <x:c r="Y91" s="34" t="n">
        <x:f>'直接配方'!$F$167*Y90+'直接配方'!$F$168*Y48+'直接配方'!$F$169*Y40+'直接配方'!$F$170*Y38+'直接配方'!$F$171*Y42+'直接配方'!$F$172*Y47+'直接配方'!$F$173*Y27</x:f>
        <x:v>0.05</x:v>
      </x:c>
      <x:c r="Z91" s="34" t="n">
        <x:f>'直接配方'!$F$167*Z90+'直接配方'!$F$168*Z48+'直接配方'!$F$169*Z40+'直接配方'!$F$170*Z38+'直接配方'!$F$171*Z42+'直接配方'!$F$172*Z47+'直接配方'!$F$173*Z27</x:f>
        <x:v>0</x:v>
      </x:c>
      <x:c r="AA91" s="34" t="n">
        <x:f>'直接配方'!$F$167*AA90+'直接配方'!$F$168*AA48+'直接配方'!$F$169*AA40+'直接配方'!$F$170*AA38+'直接配方'!$F$171*AA42+'直接配方'!$F$172*AA47+'直接配方'!$F$173*AA27</x:f>
        <x:v>0</x:v>
      </x:c>
      <x:c r="AB91" s="34" t="n">
        <x:f>'直接配方'!$F$167*AB90+'直接配方'!$F$168*AB48+'直接配方'!$F$169*AB40+'直接配方'!$F$170*AB38+'直接配方'!$F$171*AB42+'直接配方'!$F$172*AB47+'直接配方'!$F$173*AB27</x:f>
        <x:v>0.05</x:v>
      </x:c>
      <x:c r="AC91" s="34" t="n">
        <x:f>'直接配方'!$F$167*AC90+'直接配方'!$F$168*AC48+'直接配方'!$F$169*AC40+'直接配方'!$F$170*AC38+'直接配方'!$F$171*AC42+'直接配方'!$F$172*AC47+'直接配方'!$F$173*AC27</x:f>
        <x:v>0</x:v>
      </x:c>
    </x:row>
    <x:row r="92" ht="40" customHeight="1">
      <x:c r="A92" s="22" t="str">
        <x:v>E02</x:v>
      </x:c>
      <x:c r="B92" s="22" t="str">
        <x:v>太阳热集热板</x:v>
      </x:c>
      <x:c r="C92" s="22" t="str">
        <x:v>m²集热面积</x:v>
      </x:c>
      <x:c r="D92" s="34" t="n">
        <x:f>'直接配方'!$F$174*D48+'直接配方'!$F$175*D37+'直接配方'!$F$176*D38+'直接配方'!$F$177*D50+'直接配方'!$F$178*D51+'直接配方'!$F$179*D29</x:f>
        <x:v>3.2695941866362697</x:v>
      </x:c>
      <x:c r="E92" s="34" t="n">
        <x:f>'直接配方'!$F$174*E48+'直接配方'!$F$175*E37+'直接配方'!$F$176*E38+'直接配方'!$F$177*E50+'直接配方'!$F$178*E51+'直接配方'!$F$179*E29</x:f>
        <x:v>0.2338826581966863</x:v>
      </x:c>
      <x:c r="F92" s="34" t="n">
        <x:f>'直接配方'!$F$174*F48+'直接配方'!$F$175*F37+'直接配方'!$F$176*F38+'直接配方'!$F$177*F50+'直接配方'!$F$178*F51+'直接配方'!$F$179*F29</x:f>
        <x:v>0</x:v>
      </x:c>
      <x:c r="G92" s="34" t="n">
        <x:f>'直接配方'!$F$174*G48+'直接配方'!$F$175*G37+'直接配方'!$F$176*G38+'直接配方'!$F$177*G50+'直接配方'!$F$178*G51+'直接配方'!$F$179*G29</x:f>
        <x:v>0</x:v>
      </x:c>
      <x:c r="H92" s="34" t="n">
        <x:f>'直接配方'!$F$174*H48+'直接配方'!$F$175*H37+'直接配方'!$F$176*H38+'直接配方'!$F$177*H50+'直接配方'!$F$178*H51+'直接配方'!$F$179*H29</x:f>
        <x:v>2.2222222222222223</x:v>
      </x:c>
      <x:c r="I92" s="34" t="n">
        <x:f>'直接配方'!$F$174*I48+'直接配方'!$F$175*I37+'直接配方'!$F$176*I38+'直接配方'!$F$177*I50+'直接配方'!$F$178*I51+'直接配方'!$F$179*I29</x:f>
        <x:v>5.8742933837547175</x:v>
      </x:c>
      <x:c r="J92" s="34" t="n">
        <x:f>'直接配方'!$F$174*J48+'直接配方'!$F$175*J37+'直接配方'!$F$176*J38+'直接配方'!$F$177*J50+'直接配方'!$F$178*J51+'直接配方'!$F$179*J29</x:f>
        <x:v>8.561247703464948</x:v>
      </x:c>
      <x:c r="K92" s="34" t="n">
        <x:f>'直接配方'!$F$174*K48+'直接配方'!$F$175*K37+'直接配方'!$F$176*K38+'直接配方'!$F$177*K50+'直接配方'!$F$178*K51+'直接配方'!$F$179*K29</x:f>
        <x:v>0</x:v>
      </x:c>
      <x:c r="L92" s="34" t="n">
        <x:f>'直接配方'!$F$174*L48+'直接配方'!$F$175*L37+'直接配方'!$F$176*L38+'直接配方'!$F$177*L50+'直接配方'!$F$178*L51+'直接配方'!$F$179*L29</x:f>
        <x:v>0</x:v>
      </x:c>
      <x:c r="M92" s="34" t="n">
        <x:f>'直接配方'!$F$174*M48+'直接配方'!$F$175*M37+'直接配方'!$F$176*M38+'直接配方'!$F$177*M50+'直接配方'!$F$178*M51+'直接配方'!$F$179*M29</x:f>
        <x:v>0</x:v>
      </x:c>
      <x:c r="N92" s="34" t="n">
        <x:f>'直接配方'!$F$174*N48+'直接配方'!$F$175*N37+'直接配方'!$F$176*N38+'直接配方'!$F$177*N50+'直接配方'!$F$178*N51+'直接配方'!$F$179*N29</x:f>
        <x:v>0</x:v>
      </x:c>
      <x:c r="O92" s="34" t="n">
        <x:f>'直接配方'!$F$174*O48+'直接配方'!$F$175*O37+'直接配方'!$F$176*O38+'直接配方'!$F$177*O50+'直接配方'!$F$178*O51+'直接配方'!$F$179*O29</x:f>
        <x:v>0</x:v>
      </x:c>
      <x:c r="P92" s="34" t="n">
        <x:f>'直接配方'!$F$174*P48+'直接配方'!$F$175*P37+'直接配方'!$F$176*P38+'直接配方'!$F$177*P50+'直接配方'!$F$178*P51+'直接配方'!$F$179*P29</x:f>
        <x:v>0</x:v>
      </x:c>
      <x:c r="Q92" s="34" t="n">
        <x:f>'直接配方'!$F$174*Q48+'直接配方'!$F$175*Q37+'直接配方'!$F$176*Q38+'直接配方'!$F$177*Q50+'直接配方'!$F$178*Q51+'直接配方'!$F$179*Q29</x:f>
        <x:v>0.6258851855348881</x:v>
      </x:c>
      <x:c r="R92" s="34" t="n">
        <x:f>'直接配方'!$F$174*R48+'直接配方'!$F$175*R37+'直接配方'!$F$176*R38+'直接配方'!$F$177*R50+'直接配方'!$F$178*R51+'直接配方'!$F$179*R29</x:f>
        <x:v>0</x:v>
      </x:c>
      <x:c r="S92" s="34" t="n">
        <x:f>'直接配方'!$F$174*S48+'直接配方'!$F$175*S37+'直接配方'!$F$176*S38+'直接配方'!$F$177*S50+'直接配方'!$F$178*S51+'直接配方'!$F$179*S29</x:f>
        <x:v>0</x:v>
      </x:c>
      <x:c r="T92" s="34" t="n">
        <x:f>'直接配方'!$F$174*T48+'直接配方'!$F$175*T37+'直接配方'!$F$176*T38+'直接配方'!$F$177*T50+'直接配方'!$F$178*T51+'直接配方'!$F$179*T29</x:f>
        <x:v>0</x:v>
      </x:c>
      <x:c r="U92" s="34" t="n">
        <x:f>'直接配方'!$F$174*U48+'直接配方'!$F$175*U37+'直接配方'!$F$176*U38+'直接配方'!$F$177*U50+'直接配方'!$F$178*U51+'直接配方'!$F$179*U29</x:f>
        <x:v>0</x:v>
      </x:c>
      <x:c r="V92" s="34" t="n">
        <x:f>'直接配方'!$F$174*V48+'直接配方'!$F$175*V37+'直接配方'!$F$176*V38+'直接配方'!$F$177*V50+'直接配方'!$F$178*V51+'直接配方'!$F$179*V29</x:f>
        <x:v>0</x:v>
      </x:c>
      <x:c r="W92" s="34" t="n">
        <x:f>'直接配方'!$F$174*W48+'直接配方'!$F$175*W37+'直接配方'!$F$176*W38+'直接配方'!$F$177*W50+'直接配方'!$F$178*W51+'直接配方'!$F$179*W29</x:f>
        <x:v>0</x:v>
      </x:c>
      <x:c r="X92" s="34" t="n">
        <x:f>'直接配方'!$F$174*X48+'直接配方'!$F$175*X37+'直接配方'!$F$176*X38+'直接配方'!$F$177*X50+'直接配方'!$F$178*X51+'直接配方'!$F$179*X29</x:f>
        <x:v>0</x:v>
      </x:c>
      <x:c r="Y92" s="34" t="n">
        <x:f>'直接配方'!$F$174*Y48+'直接配方'!$F$175*Y37+'直接配方'!$F$176*Y38+'直接配方'!$F$177*Y50+'直接配方'!$F$178*Y51+'直接配方'!$F$179*Y29</x:f>
        <x:v>0</x:v>
      </x:c>
      <x:c r="Z92" s="34" t="n">
        <x:f>'直接配方'!$F$174*Z48+'直接配方'!$F$175*Z37+'直接配方'!$F$176*Z38+'直接配方'!$F$177*Z50+'直接配方'!$F$178*Z51+'直接配方'!$F$179*Z29</x:f>
        <x:v>0</x:v>
      </x:c>
      <x:c r="AA92" s="34" t="n">
        <x:f>'直接配方'!$F$174*AA48+'直接配方'!$F$175*AA37+'直接配方'!$F$176*AA38+'直接配方'!$F$177*AA50+'直接配方'!$F$178*AA51+'直接配方'!$F$179*AA29</x:f>
        <x:v>0.02</x:v>
      </x:c>
      <x:c r="AB92" s="34" t="n">
        <x:f>'直接配方'!$F$174*AB48+'直接配方'!$F$175*AB37+'直接配方'!$F$176*AB38+'直接配方'!$F$177*AB50+'直接配方'!$F$178*AB51+'直接配方'!$F$179*AB29</x:f>
        <x:v>0</x:v>
      </x:c>
      <x:c r="AC92" s="34" t="n">
        <x:f>'直接配方'!$F$174*AC48+'直接配方'!$F$175*AC37+'直接配方'!$F$176*AC38+'直接配方'!$F$177*AC50+'直接配方'!$F$178*AC51+'直接配方'!$F$179*AC29</x:f>
        <x:v>0</x:v>
      </x:c>
    </x:row>
    <x:row r="93" ht="40" customHeight="1">
      <x:c r="A93" s="22" t="str">
        <x:v>E03</x:v>
      </x:c>
      <x:c r="B93" s="22" t="str">
        <x:v>岩石显热储热模块</x:v>
      </x:c>
      <x:c r="C93" s="22" t="str">
        <x:v>kWhₜₕ名义容量</x:v>
      </x:c>
      <x:c r="D93" s="34" t="n">
        <x:f>'直接配方'!$F$180*D10+'直接配方'!$F$181*D37+'直接配方'!$F$182*D50</x:f>
        <x:v>0.9778313941470924</x:v>
      </x:c>
      <x:c r="E93" s="34" t="n">
        <x:f>'直接配方'!$F$180*E10+'直接配方'!$F$181*E37+'直接配方'!$F$182*E50</x:f>
        <x:v>0.0146562317875281</x:v>
      </x:c>
      <x:c r="F93" s="34" t="n">
        <x:f>'直接配方'!$F$180*F10+'直接配方'!$F$181*F37+'直接配方'!$F$182*F50</x:f>
        <x:v>0</x:v>
      </x:c>
      <x:c r="G93" s="34" t="n">
        <x:f>'直接配方'!$F$180*G10+'直接配方'!$F$181*G37+'直接配方'!$F$182*G50</x:f>
        <x:v>0</x:v>
      </x:c>
      <x:c r="H93" s="34" t="n">
        <x:f>'直接配方'!$F$180*H10+'直接配方'!$F$181*H37+'直接配方'!$F$182*H50</x:f>
        <x:v>19.028944911297852</x:v>
      </x:c>
      <x:c r="I93" s="34" t="n">
        <x:f>'直接配方'!$F$180*I10+'直接配方'!$F$181*I37+'直接配方'!$F$182*I50</x:f>
        <x:v>0</x:v>
      </x:c>
      <x:c r="J93" s="34" t="n">
        <x:f>'直接配方'!$F$180*J10+'直接配方'!$F$181*J37+'直接配方'!$F$182*J50</x:f>
        <x:v>2.853749234488316</x:v>
      </x:c>
      <x:c r="K93" s="34" t="n">
        <x:f>'直接配方'!$F$180*K10+'直接配方'!$F$181*K37+'直接配方'!$F$182*K50</x:f>
        <x:v>0</x:v>
      </x:c>
      <x:c r="L93" s="34" t="n">
        <x:f>'直接配方'!$F$180*L10+'直接配方'!$F$181*L37+'直接配方'!$F$182*L50</x:f>
        <x:v>0</x:v>
      </x:c>
      <x:c r="M93" s="34" t="n">
        <x:f>'直接配方'!$F$180*M10+'直接配方'!$F$181*M37+'直接配方'!$F$182*M50</x:f>
        <x:v>0</x:v>
      </x:c>
      <x:c r="N93" s="34" t="n">
        <x:f>'直接配方'!$F$180*N10+'直接配方'!$F$181*N37+'直接配方'!$F$182*N50</x:f>
        <x:v>0</x:v>
      </x:c>
      <x:c r="O93" s="34" t="n">
        <x:f>'直接配方'!$F$180*O10+'直接配方'!$F$181*O37+'直接配方'!$F$182*O50</x:f>
        <x:v>0</x:v>
      </x:c>
      <x:c r="P93" s="34" t="n">
        <x:f>'直接配方'!$F$180*P10+'直接配方'!$F$181*P37+'直接配方'!$F$182*P50</x:f>
        <x:v>0</x:v>
      </x:c>
      <x:c r="Q93" s="34" t="n">
        <x:f>'直接配方'!$F$180*Q10+'直接配方'!$F$181*Q37+'直接配方'!$F$182*Q50</x:f>
        <x:v>0</x:v>
      </x:c>
      <x:c r="R93" s="34" t="n">
        <x:f>'直接配方'!$F$180*R10+'直接配方'!$F$181*R37+'直接配方'!$F$182*R50</x:f>
        <x:v>0</x:v>
      </x:c>
      <x:c r="S93" s="34" t="n">
        <x:f>'直接配方'!$F$180*S10+'直接配方'!$F$181*S37+'直接配方'!$F$182*S50</x:f>
        <x:v>0</x:v>
      </x:c>
      <x:c r="T93" s="34" t="n">
        <x:f>'直接配方'!$F$180*T10+'直接配方'!$F$181*T37+'直接配方'!$F$182*T50</x:f>
        <x:v>0</x:v>
      </x:c>
      <x:c r="U93" s="34" t="n">
        <x:f>'直接配方'!$F$180*U10+'直接配方'!$F$181*U37+'直接配方'!$F$182*U50</x:f>
        <x:v>0</x:v>
      </x:c>
      <x:c r="V93" s="34" t="n">
        <x:f>'直接配方'!$F$180*V10+'直接配方'!$F$181*V37+'直接配方'!$F$182*V50</x:f>
        <x:v>0</x:v>
      </x:c>
      <x:c r="W93" s="34" t="n">
        <x:f>'直接配方'!$F$180*W10+'直接配方'!$F$181*W37+'直接配方'!$F$182*W50</x:f>
        <x:v>0</x:v>
      </x:c>
      <x:c r="X93" s="34" t="n">
        <x:f>'直接配方'!$F$180*X10+'直接配方'!$F$181*X37+'直接配方'!$F$182*X50</x:f>
        <x:v>0</x:v>
      </x:c>
      <x:c r="Y93" s="34" t="n">
        <x:f>'直接配方'!$F$180*Y10+'直接配方'!$F$181*Y37+'直接配方'!$F$182*Y50</x:f>
        <x:v>0</x:v>
      </x:c>
      <x:c r="Z93" s="34" t="n">
        <x:f>'直接配方'!$F$180*Z10+'直接配方'!$F$181*Z37+'直接配方'!$F$182*Z50</x:f>
        <x:v>0</x:v>
      </x:c>
      <x:c r="AA93" s="34" t="n">
        <x:f>'直接配方'!$F$180*AA10+'直接配方'!$F$181*AA37+'直接配方'!$F$182*AA50</x:f>
        <x:v>0</x:v>
      </x:c>
      <x:c r="AB93" s="34" t="n">
        <x:f>'直接配方'!$F$180*AB10+'直接配方'!$F$181*AB37+'直接配方'!$F$182*AB50</x:f>
        <x:v>0</x:v>
      </x:c>
      <x:c r="AC93" s="34" t="n">
        <x:f>'直接配方'!$F$180*AC10+'直接配方'!$F$181*AC37+'直接配方'!$F$182*AC50</x:f>
        <x:v>0</x:v>
      </x:c>
    </x:row>
    <x:row r="94" ht="40" customHeight="1">
      <x:c r="A94" s="22" t="str">
        <x:v>E04</x:v>
      </x:c>
      <x:c r="B94" s="22" t="str">
        <x:v>碱性水电解设备</x:v>
      </x:c>
      <x:c r="C94" s="22" t="str">
        <x:v>套（1kW额定输入）</x:v>
      </x:c>
      <x:c r="D94" s="34" t="n">
        <x:f>'直接配方'!$F$183*D37+'直接配方'!$F$184*D39+'直接配方'!$F$185*D38+'直接配方'!$F$186*D46+'直接配方'!$F$187*D51+'直接配方'!$F$188*D57+'直接配方'!$F$189*D27+'直接配方'!$F$190*D29</x:f>
        <x:v>12.326345242882146</x:v>
      </x:c>
      <x:c r="E94" s="34" t="n">
        <x:f>'直接配方'!$F$183*E37+'直接配方'!$F$184*E39+'直接配方'!$F$185*E38+'直接配方'!$F$186*E46+'直接配方'!$F$187*E51+'直接配方'!$F$188*E57+'直接配方'!$F$189*E27+'直接配方'!$F$190*E29</x:f>
        <x:v>3.6271988691791064</x:v>
      </x:c>
      <x:c r="F94" s="34" t="n">
        <x:f>'直接配方'!$F$183*F37+'直接配方'!$F$184*F39+'直接配方'!$F$185*F38+'直接配方'!$F$186*F46+'直接配方'!$F$187*F51+'直接配方'!$F$188*F57+'直接配方'!$F$189*F27+'直接配方'!$F$190*F29</x:f>
        <x:v>0</x:v>
      </x:c>
      <x:c r="G94" s="34" t="n">
        <x:f>'直接配方'!$F$183*G37+'直接配方'!$F$184*G39+'直接配方'!$F$185*G38+'直接配方'!$F$186*G46+'直接配方'!$F$187*G51+'直接配方'!$F$188*G57+'直接配方'!$F$189*G27+'直接配方'!$F$190*G29</x:f>
        <x:v>0</x:v>
      </x:c>
      <x:c r="H94" s="34" t="n">
        <x:f>'直接配方'!$F$183*H37+'直接配方'!$F$184*H39+'直接配方'!$F$185*H38+'直接配方'!$F$186*H46+'直接配方'!$F$187*H51+'直接配方'!$F$188*H57+'直接配方'!$F$189*H27+'直接配方'!$F$190*H29</x:f>
        <x:v>0</x:v>
      </x:c>
      <x:c r="I94" s="34" t="n">
        <x:f>'直接配方'!$F$183*I37+'直接配方'!$F$184*I39+'直接配方'!$F$185*I38+'直接配方'!$F$186*I46+'直接配方'!$F$187*I51+'直接配方'!$F$188*I57+'直接配方'!$F$189*I27+'直接配方'!$F$190*I29</x:f>
        <x:v>0.16963939908838369</x:v>
      </x:c>
      <x:c r="J94" s="34" t="n">
        <x:f>'直接配方'!$F$183*J37+'直接配方'!$F$184*J39+'直接配方'!$F$185*J38+'直接配方'!$F$186*J46+'直接配方'!$F$187*J51+'直接配方'!$F$188*J57+'直接配方'!$F$189*J27+'直接配方'!$F$190*J29</x:f>
        <x:v>21.403119258662368</x:v>
      </x:c>
      <x:c r="K94" s="34" t="n">
        <x:f>'直接配方'!$F$183*K37+'直接配方'!$F$184*K39+'直接配方'!$F$185*K38+'直接配方'!$F$186*K46+'直接配方'!$F$187*K51+'直接配方'!$F$188*K57+'直接配方'!$F$189*K27+'直接配方'!$F$190*K29</x:f>
        <x:v>0</x:v>
      </x:c>
      <x:c r="L94" s="34" t="n">
        <x:f>'直接配方'!$F$183*L37+'直接配方'!$F$184*L39+'直接配方'!$F$185*L38+'直接配方'!$F$186*L46+'直接配方'!$F$187*L51+'直接配方'!$F$188*L57+'直接配方'!$F$189*L27+'直接配方'!$F$190*L29</x:f>
        <x:v>0</x:v>
      </x:c>
      <x:c r="M94" s="34" t="n">
        <x:f>'直接配方'!$F$183*M37+'直接配方'!$F$184*M39+'直接配方'!$F$185*M38+'直接配方'!$F$186*M46+'直接配方'!$F$187*M51+'直接配方'!$F$188*M57+'直接配方'!$F$189*M27+'直接配方'!$F$190*M29</x:f>
        <x:v>0</x:v>
      </x:c>
      <x:c r="N94" s="34" t="n">
        <x:f>'直接配方'!$F$183*N37+'直接配方'!$F$184*N39+'直接配方'!$F$185*N38+'直接配方'!$F$186*N46+'直接配方'!$F$187*N51+'直接配方'!$F$188*N57+'直接配方'!$F$189*N27+'直接配方'!$F$190*N29</x:f>
        <x:v>0.6643614651100616</x:v>
      </x:c>
      <x:c r="O94" s="34" t="n">
        <x:f>'直接配方'!$F$183*O37+'直接配方'!$F$184*O39+'直接配方'!$F$185*O38+'直接配方'!$F$186*O46+'直接配方'!$F$187*O51+'直接配方'!$F$188*O57+'直接配方'!$F$189*O27+'直接配方'!$F$190*O29</x:f>
        <x:v>0</x:v>
      </x:c>
      <x:c r="P94" s="34" t="n">
        <x:f>'直接配方'!$F$183*P37+'直接配方'!$F$184*P39+'直接配方'!$F$185*P38+'直接配方'!$F$186*P46+'直接配方'!$F$187*P51+'直接配方'!$F$188*P57+'直接配方'!$F$189*P27+'直接配方'!$F$190*P29</x:f>
        <x:v>0</x:v>
      </x:c>
      <x:c r="Q94" s="34" t="n">
        <x:f>'直接配方'!$F$183*Q37+'直接配方'!$F$184*Q39+'直接配方'!$F$185*Q38+'直接配方'!$F$186*Q46+'直接配方'!$F$187*Q51+'直接配方'!$F$188*Q57+'直接配方'!$F$189*Q27+'直接配方'!$F$190*Q29</x:f>
        <x:v>1.2517703710697763</x:v>
      </x:c>
      <x:c r="R94" s="34" t="n">
        <x:f>'直接配方'!$F$183*R37+'直接配方'!$F$184*R39+'直接配方'!$F$185*R38+'直接配方'!$F$186*R46+'直接配方'!$F$187*R51+'直接配方'!$F$188*R57+'直接配方'!$F$189*R27+'直接配方'!$F$190*R29</x:f>
        <x:v>1.2725878724890531</x:v>
      </x:c>
      <x:c r="S94" s="34" t="n">
        <x:f>'直接配方'!$F$183*S37+'直接配方'!$F$184*S39+'直接配方'!$F$185*S38+'直接配方'!$F$186*S46+'直接配方'!$F$187*S51+'直接配方'!$F$188*S57+'直接配方'!$F$189*S27+'直接配方'!$F$190*S29</x:f>
        <x:v>0</x:v>
      </x:c>
      <x:c r="T94" s="34" t="n">
        <x:f>'直接配方'!$F$183*T37+'直接配方'!$F$184*T39+'直接配方'!$F$185*T38+'直接配方'!$F$186*T46+'直接配方'!$F$187*T51+'直接配方'!$F$188*T57+'直接配方'!$F$189*T27+'直接配方'!$F$190*T29</x:f>
        <x:v>0</x:v>
      </x:c>
      <x:c r="U94" s="34" t="n">
        <x:f>'直接配方'!$F$183*U37+'直接配方'!$F$184*U39+'直接配方'!$F$185*U38+'直接配方'!$F$186*U46+'直接配方'!$F$187*U51+'直接配方'!$F$188*U57+'直接配方'!$F$189*U27+'直接配方'!$F$190*U29</x:f>
        <x:v>0</x:v>
      </x:c>
      <x:c r="V94" s="34" t="n">
        <x:f>'直接配方'!$F$183*V37+'直接配方'!$F$184*V39+'直接配方'!$F$185*V38+'直接配方'!$F$186*V46+'直接配方'!$F$187*V51+'直接配方'!$F$188*V57+'直接配方'!$F$189*V27+'直接配方'!$F$190*V29</x:f>
        <x:v>0</x:v>
      </x:c>
      <x:c r="W94" s="34" t="n">
        <x:f>'直接配方'!$F$183*W37+'直接配方'!$F$184*W39+'直接配方'!$F$185*W38+'直接配方'!$F$186*W46+'直接配方'!$F$187*W51+'直接配方'!$F$188*W57+'直接配方'!$F$189*W27+'直接配方'!$F$190*W29</x:f>
        <x:v>0</x:v>
      </x:c>
      <x:c r="X94" s="34" t="n">
        <x:f>'直接配方'!$F$183*X37+'直接配方'!$F$184*X39+'直接配方'!$F$185*X38+'直接配方'!$F$186*X46+'直接配方'!$F$187*X51+'直接配方'!$F$188*X57+'直接配方'!$F$189*X27+'直接配方'!$F$190*X29</x:f>
        <x:v>0</x:v>
      </x:c>
      <x:c r="Y94" s="34" t="n">
        <x:f>'直接配方'!$F$183*Y37+'直接配方'!$F$184*Y39+'直接配方'!$F$185*Y38+'直接配方'!$F$186*Y46+'直接配方'!$F$187*Y51+'直接配方'!$F$188*Y57+'直接配方'!$F$189*Y27+'直接配方'!$F$190*Y29</x:f>
        <x:v>0.5</x:v>
      </x:c>
      <x:c r="Z94" s="34" t="n">
        <x:f>'直接配方'!$F$183*Z37+'直接配方'!$F$184*Z39+'直接配方'!$F$185*Z38+'直接配方'!$F$186*Z46+'直接配方'!$F$187*Z51+'直接配方'!$F$188*Z57+'直接配方'!$F$189*Z27+'直接配方'!$F$190*Z29</x:f>
        <x:v>0</x:v>
      </x:c>
      <x:c r="AA94" s="34" t="n">
        <x:f>'直接配方'!$F$183*AA37+'直接配方'!$F$184*AA39+'直接配方'!$F$185*AA38+'直接配方'!$F$186*AA46+'直接配方'!$F$187*AA51+'直接配方'!$F$188*AA57+'直接配方'!$F$189*AA27+'直接配方'!$F$190*AA29</x:f>
        <x:v>0.2</x:v>
      </x:c>
      <x:c r="AB94" s="34" t="n">
        <x:f>'直接配方'!$F$183*AB37+'直接配方'!$F$184*AB39+'直接配方'!$F$185*AB38+'直接配方'!$F$186*AB46+'直接配方'!$F$187*AB51+'直接配方'!$F$188*AB57+'直接配方'!$F$189*AB27+'直接配方'!$F$190*AB29</x:f>
        <x:v>0</x:v>
      </x:c>
      <x:c r="AC94" s="34" t="n">
        <x:f>'直接配方'!$F$183*AC37+'直接配方'!$F$184*AC39+'直接配方'!$F$185*AC38+'直接配方'!$F$186*AC46+'直接配方'!$F$187*AC51+'直接配方'!$F$188*AC57+'直接配方'!$F$189*AC27+'直接配方'!$F$190*AC29</x:f>
        <x:v>0</x:v>
      </x:c>
    </x:row>
    <x:row r="95" ht="40" customHeight="1">
      <x:c r="A95" s="22" t="str">
        <x:v>E05</x:v>
      </x:c>
      <x:c r="B95" s="22" t="str">
        <x:v>甲烷合成设备</x:v>
      </x:c>
      <x:c r="C95" s="22" t="str">
        <x:v>套（名义1kg CH₄/日）</x:v>
      </x:c>
      <x:c r="D95" s="34" t="n">
        <x:f>'直接配方'!$F$191*D37+'直接配方'!$F$192*D39+'直接配方'!$F$193*D38+'直接配方'!$F$194*D49+'直接配方'!$F$195*D51+'直接配方'!$F$196*D27+'直接配方'!$F$197*D29</x:f>
        <x:v>15.97098668070462</x:v>
      </x:c>
      <x:c r="E95" s="34" t="n">
        <x:f>'直接配方'!$F$191*E37+'直接配方'!$F$192*E39+'直接配方'!$F$193*E38+'直接配方'!$F$194*E49+'直接配方'!$F$195*E51+'直接配方'!$F$196*E27+'直接配方'!$F$197*E29</x:f>
        <x:v>0.7895853653152275</x:v>
      </x:c>
      <x:c r="F95" s="34" t="n">
        <x:f>'直接配方'!$F$191*F37+'直接配方'!$F$192*F39+'直接配方'!$F$193*F38+'直接配方'!$F$194*F49+'直接配方'!$F$195*F51+'直接配方'!$F$196*F27+'直接配方'!$F$197*F29</x:f>
        <x:v>0</x:v>
      </x:c>
      <x:c r="G95" s="34" t="n">
        <x:f>'直接配方'!$F$191*G37+'直接配方'!$F$192*G39+'直接配方'!$F$193*G38+'直接配方'!$F$194*G49+'直接配方'!$F$195*G51+'直接配方'!$F$196*G27+'直接配方'!$F$197*G29</x:f>
        <x:v>0</x:v>
      </x:c>
      <x:c r="H95" s="34" t="n">
        <x:f>'直接配方'!$F$191*H37+'直接配方'!$F$192*H39+'直接配方'!$F$193*H38+'直接配方'!$F$194*H49+'直接配方'!$F$195*H51+'直接配方'!$F$196*H27+'直接配方'!$F$197*H29</x:f>
        <x:v>5.555555555555555</x:v>
      </x:c>
      <x:c r="I95" s="34" t="n">
        <x:f>'直接配方'!$F$191*I37+'直接配方'!$F$192*I39+'直接配方'!$F$193*I38+'直接配方'!$F$194*I49+'直接配方'!$F$195*I51+'直接配方'!$F$196*I27+'直接配方'!$F$197*I29</x:f>
        <x:v>0.2544590986325755</x:v>
      </x:c>
      <x:c r="J95" s="34" t="n">
        <x:f>'直接配方'!$F$191*J37+'直接配方'!$F$192*J39+'直接配方'!$F$193*J38+'直接配方'!$F$194*J49+'直接配方'!$F$195*J51+'直接配方'!$F$196*J27+'直接配方'!$F$197*J29</x:f>
        <x:v>42.806238517324736</x:v>
      </x:c>
      <x:c r="K95" s="34" t="n">
        <x:f>'直接配方'!$F$191*K37+'直接配方'!$F$192*K39+'直接配方'!$F$193*K38+'直接配方'!$F$194*K49+'直接配方'!$F$195*K51+'直接配方'!$F$196*K27+'直接配方'!$F$197*K29</x:f>
        <x:v>0</x:v>
      </x:c>
      <x:c r="L95" s="34" t="n">
        <x:f>'直接配方'!$F$191*L37+'直接配方'!$F$192*L39+'直接配方'!$F$193*L38+'直接配方'!$F$194*L49+'直接配方'!$F$195*L51+'直接配方'!$F$196*L27+'直接配方'!$F$197*L29</x:f>
        <x:v>0</x:v>
      </x:c>
      <x:c r="M95" s="34" t="n">
        <x:f>'直接配方'!$F$191*M37+'直接配方'!$F$192*M39+'直接配方'!$F$193*M38+'直接配方'!$F$194*M49+'直接配方'!$F$195*M51+'直接配方'!$F$196*M27+'直接配方'!$F$197*M29</x:f>
        <x:v>0</x:v>
      </x:c>
      <x:c r="N95" s="34" t="n">
        <x:f>'直接配方'!$F$191*N37+'直接配方'!$F$192*N39+'直接配方'!$F$193*N38+'直接配方'!$F$194*N49+'直接配方'!$F$195*N51+'直接配方'!$F$196*N27+'直接配方'!$F$197*N29</x:f>
        <x:v>0</x:v>
      </x:c>
      <x:c r="O95" s="34" t="n">
        <x:f>'直接配方'!$F$191*O37+'直接配方'!$F$192*O39+'直接配方'!$F$193*O38+'直接配方'!$F$194*O49+'直接配方'!$F$195*O51+'直接配方'!$F$196*O27+'直接配方'!$F$197*O29</x:f>
        <x:v>0</x:v>
      </x:c>
      <x:c r="P95" s="34" t="n">
        <x:f>'直接配方'!$F$191*P37+'直接配方'!$F$192*P39+'直接配方'!$F$193*P38+'直接配方'!$F$194*P49+'直接配方'!$F$195*P51+'直接配方'!$F$196*P27+'直接配方'!$F$197*P29</x:f>
        <x:v>0</x:v>
      </x:c>
      <x:c r="Q95" s="34" t="n">
        <x:f>'直接配方'!$F$191*Q37+'直接配方'!$F$192*Q39+'直接配方'!$F$193*Q38+'直接配方'!$F$194*Q49+'直接配方'!$F$195*Q51+'直接配方'!$F$196*Q27+'直接配方'!$F$197*Q29</x:f>
        <x:v>2.5035407421395526</x:v>
      </x:c>
      <x:c r="R95" s="34" t="n">
        <x:f>'直接配方'!$F$191*R37+'直接配方'!$F$192*R39+'直接配方'!$F$193*R38+'直接配方'!$F$194*R49+'直接配方'!$F$195*R51+'直接配方'!$F$196*R27+'直接配方'!$F$197*R29</x:f>
        <x:v>0.6362939362445266</x:v>
      </x:c>
      <x:c r="S95" s="34" t="n">
        <x:f>'直接配方'!$F$191*S37+'直接配方'!$F$192*S39+'直接配方'!$F$193*S38+'直接配方'!$F$194*S49+'直接配方'!$F$195*S51+'直接配方'!$F$196*S27+'直接配方'!$F$197*S29</x:f>
        <x:v>0</x:v>
      </x:c>
      <x:c r="T95" s="34" t="n">
        <x:f>'直接配方'!$F$191*T37+'直接配方'!$F$192*T39+'直接配方'!$F$193*T38+'直接配方'!$F$194*T49+'直接配方'!$F$195*T51+'直接配方'!$F$196*T27+'直接配方'!$F$197*T29</x:f>
        <x:v>0</x:v>
      </x:c>
      <x:c r="U95" s="34" t="n">
        <x:f>'直接配方'!$F$191*U37+'直接配方'!$F$192*U39+'直接配方'!$F$193*U38+'直接配方'!$F$194*U49+'直接配方'!$F$195*U51+'直接配方'!$F$196*U27+'直接配方'!$F$197*U29</x:f>
        <x:v>0</x:v>
      </x:c>
      <x:c r="V95" s="34" t="n">
        <x:f>'直接配方'!$F$191*V37+'直接配方'!$F$192*V39+'直接配方'!$F$193*V38+'直接配方'!$F$194*V49+'直接配方'!$F$195*V51+'直接配方'!$F$196*V27+'直接配方'!$F$197*V29</x:f>
        <x:v>0</x:v>
      </x:c>
      <x:c r="W95" s="34" t="n">
        <x:f>'直接配方'!$F$191*W37+'直接配方'!$F$192*W39+'直接配方'!$F$193*W38+'直接配方'!$F$194*W49+'直接配方'!$F$195*W51+'直接配方'!$F$196*W27+'直接配方'!$F$197*W29</x:f>
        <x:v>0</x:v>
      </x:c>
      <x:c r="X95" s="34" t="n">
        <x:f>'直接配方'!$F$191*X37+'直接配方'!$F$192*X39+'直接配方'!$F$193*X38+'直接配方'!$F$194*X49+'直接配方'!$F$195*X51+'直接配方'!$F$196*X27+'直接配方'!$F$197*X29</x:f>
        <x:v>0</x:v>
      </x:c>
      <x:c r="Y95" s="34" t="n">
        <x:f>'直接配方'!$F$191*Y37+'直接配方'!$F$192*Y39+'直接配方'!$F$193*Y38+'直接配方'!$F$194*Y49+'直接配方'!$F$195*Y51+'直接配方'!$F$196*Y27+'直接配方'!$F$197*Y29</x:f>
        <x:v>1</x:v>
      </x:c>
      <x:c r="Z95" s="34" t="n">
        <x:f>'直接配方'!$F$191*Z37+'直接配方'!$F$192*Z39+'直接配方'!$F$193*Z38+'直接配方'!$F$194*Z49+'直接配方'!$F$195*Z51+'直接配方'!$F$196*Z27+'直接配方'!$F$197*Z29</x:f>
        <x:v>0</x:v>
      </x:c>
      <x:c r="AA95" s="34" t="n">
        <x:f>'直接配方'!$F$191*AA37+'直接配方'!$F$192*AA39+'直接配方'!$F$193*AA38+'直接配方'!$F$194*AA49+'直接配方'!$F$195*AA51+'直接配方'!$F$196*AA27+'直接配方'!$F$197*AA29</x:f>
        <x:v>0.1</x:v>
      </x:c>
      <x:c r="AB95" s="34" t="n">
        <x:f>'直接配方'!$F$191*AB37+'直接配方'!$F$192*AB39+'直接配方'!$F$193*AB38+'直接配方'!$F$194*AB49+'直接配方'!$F$195*AB51+'直接配方'!$F$196*AB27+'直接配方'!$F$197*AB29</x:f>
        <x:v>0</x:v>
      </x:c>
      <x:c r="AC95" s="34" t="n">
        <x:f>'直接配方'!$F$191*AC37+'直接配方'!$F$192*AC39+'直接配方'!$F$193*AC38+'直接配方'!$F$194*AC49+'直接配方'!$F$195*AC51+'直接配方'!$F$196*AC27+'直接配方'!$F$197*AC29</x:f>
        <x:v>0</x:v>
      </x:c>
    </x:row>
    <x:row r="96" ht="40" customHeight="1">
      <x:c r="A96" s="22" t="str">
        <x:v>E06</x:v>
      </x:c>
      <x:c r="B96" s="22" t="str">
        <x:v>合成甲烷</x:v>
      </x:c>
      <x:c r="C96" s="22" t="str">
        <x:v>kg</x:v>
      </x:c>
      <x:c r="D96" s="34" t="n">
        <x:f>'直接配方'!$F$198*D7+'直接配方'!$F$199*D33</x:f>
        <x:v>4.491678613725613</x:v>
      </x:c>
      <x:c r="E96" s="34" t="n">
        <x:f>'直接配方'!$F$198*E7+'直接配方'!$F$199*E33</x:f>
        <x:v>2.7431901764009226</x:v>
      </x:c>
      <x:c r="F96" s="34" t="n">
        <x:f>'直接配方'!$F$198*F7+'直接配方'!$F$199*F33</x:f>
        <x:v>0</x:v>
      </x:c>
      <x:c r="G96" s="34" t="n">
        <x:f>'直接配方'!$F$198*G7+'直接配方'!$F$199*G33</x:f>
        <x:v>0</x:v>
      </x:c>
      <x:c r="H96" s="34" t="n">
        <x:f>'直接配方'!$F$198*H7+'直接配方'!$F$199*H33</x:f>
        <x:v>0</x:v>
      </x:c>
      <x:c r="I96" s="34" t="n">
        <x:f>'直接配方'!$F$198*I7+'直接配方'!$F$199*I33</x:f>
        <x:v>0</x:v>
      </x:c>
      <x:c r="J96" s="34" t="n">
        <x:f>'直接配方'!$F$198*J7+'直接配方'!$F$199*J33</x:f>
        <x:v>0</x:v>
      </x:c>
      <x:c r="K96" s="34" t="n">
        <x:f>'直接配方'!$F$198*K7+'直接配方'!$F$199*K33</x:f>
        <x:v>0</x:v>
      </x:c>
      <x:c r="L96" s="34" t="n">
        <x:f>'直接配方'!$F$198*L7+'直接配方'!$F$199*L33</x:f>
        <x:v>0</x:v>
      </x:c>
      <x:c r="M96" s="34" t="n">
        <x:f>'直接配方'!$F$198*M7+'直接配方'!$F$199*M33</x:f>
        <x:v>0</x:v>
      </x:c>
      <x:c r="N96" s="34" t="n">
        <x:f>'直接配方'!$F$198*N7+'直接配方'!$F$199*N33</x:f>
        <x:v>0</x:v>
      </x:c>
      <x:c r="O96" s="34" t="n">
        <x:f>'直接配方'!$F$198*O7+'直接配方'!$F$199*O33</x:f>
        <x:v>0</x:v>
      </x:c>
      <x:c r="P96" s="34" t="n">
        <x:f>'直接配方'!$F$198*P7+'直接配方'!$F$199*P33</x:f>
        <x:v>0</x:v>
      </x:c>
      <x:c r="Q96" s="34" t="n">
        <x:f>'直接配方'!$F$198*Q7+'直接配方'!$F$199*Q33</x:f>
        <x:v>0</x:v>
      </x:c>
      <x:c r="R96" s="34" t="n">
        <x:f>'直接配方'!$F$198*R7+'直接配方'!$F$199*R33</x:f>
        <x:v>0</x:v>
      </x:c>
      <x:c r="S96" s="34" t="n">
        <x:f>'直接配方'!$F$198*S7+'直接配方'!$F$199*S33</x:f>
        <x:v>0</x:v>
      </x:c>
      <x:c r="T96" s="34" t="n">
        <x:f>'直接配方'!$F$198*T7+'直接配方'!$F$199*T33</x:f>
        <x:v>0</x:v>
      </x:c>
      <x:c r="U96" s="34" t="n">
        <x:f>'直接配方'!$F$198*U7+'直接配方'!$F$199*U33</x:f>
        <x:v>0</x:v>
      </x:c>
      <x:c r="V96" s="34" t="n">
        <x:f>'直接配方'!$F$198*V7+'直接配方'!$F$199*V33</x:f>
        <x:v>0</x:v>
      </x:c>
      <x:c r="W96" s="34" t="n">
        <x:f>'直接配方'!$F$198*W7+'直接配方'!$F$199*W33</x:f>
        <x:v>0</x:v>
      </x:c>
      <x:c r="X96" s="34" t="n">
        <x:f>'直接配方'!$F$198*X7+'直接配方'!$F$199*X33</x:f>
        <x:v>0</x:v>
      </x:c>
      <x:c r="Y96" s="34" t="n">
        <x:f>'直接配方'!$F$198*Y7+'直接配方'!$F$199*Y33</x:f>
        <x:v>0</x:v>
      </x:c>
      <x:c r="Z96" s="34" t="n">
        <x:f>'直接配方'!$F$198*Z7+'直接配方'!$F$199*Z33</x:f>
        <x:v>0</x:v>
      </x:c>
      <x:c r="AA96" s="34" t="n">
        <x:f>'直接配方'!$F$198*AA7+'直接配方'!$F$199*AA33</x:f>
        <x:v>0</x:v>
      </x:c>
      <x:c r="AB96" s="34" t="n">
        <x:f>'直接配方'!$F$198*AB7+'直接配方'!$F$199*AB33</x:f>
        <x:v>0</x:v>
      </x:c>
      <x:c r="AC96" s="34" t="n">
        <x:f>'直接配方'!$F$198*AC7+'直接配方'!$F$199*AC33</x:f>
        <x:v>0</x:v>
      </x:c>
    </x:row>
    <x:row r="97" ht="40" customHeight="1">
      <x:c r="A97" s="22" t="str">
        <x:v>E07</x:v>
      </x:c>
      <x:c r="B97" s="22" t="str">
        <x:v>氢气</x:v>
      </x:c>
      <x:c r="C97" s="22" t="str">
        <x:v>kg</x:v>
      </x:c>
      <x:c r="D97" s="34" t="n">
        <x:f>'直接配方'!$F$200*D33</x:f>
        <x:v>8.936011904761905</x:v>
      </x:c>
      <x:c r="E97" s="34" t="n">
        <x:f>'直接配方'!$F$200*E33</x:f>
        <x:v>0</x:v>
      </x:c>
      <x:c r="F97" s="34" t="n">
        <x:f>'直接配方'!$F$200*F33</x:f>
        <x:v>0</x:v>
      </x:c>
      <x:c r="G97" s="34" t="n">
        <x:f>'直接配方'!$F$200*G33</x:f>
        <x:v>0</x:v>
      </x:c>
      <x:c r="H97" s="34" t="n">
        <x:f>'直接配方'!$F$200*H33</x:f>
        <x:v>0</x:v>
      </x:c>
      <x:c r="I97" s="34" t="n">
        <x:f>'直接配方'!$F$200*I33</x:f>
        <x:v>0</x:v>
      </x:c>
      <x:c r="J97" s="34" t="n">
        <x:f>'直接配方'!$F$200*J33</x:f>
        <x:v>0</x:v>
      </x:c>
      <x:c r="K97" s="34" t="n">
        <x:f>'直接配方'!$F$200*K33</x:f>
        <x:v>0</x:v>
      </x:c>
      <x:c r="L97" s="34" t="n">
        <x:f>'直接配方'!$F$200*L33</x:f>
        <x:v>0</x:v>
      </x:c>
      <x:c r="M97" s="34" t="n">
        <x:f>'直接配方'!$F$200*M33</x:f>
        <x:v>0</x:v>
      </x:c>
      <x:c r="N97" s="34" t="n">
        <x:f>'直接配方'!$F$200*N33</x:f>
        <x:v>0</x:v>
      </x:c>
      <x:c r="O97" s="34" t="n">
        <x:f>'直接配方'!$F$200*O33</x:f>
        <x:v>0</x:v>
      </x:c>
      <x:c r="P97" s="34" t="n">
        <x:f>'直接配方'!$F$200*P33</x:f>
        <x:v>0</x:v>
      </x:c>
      <x:c r="Q97" s="34" t="n">
        <x:f>'直接配方'!$F$200*Q33</x:f>
        <x:v>0</x:v>
      </x:c>
      <x:c r="R97" s="34" t="n">
        <x:f>'直接配方'!$F$200*R33</x:f>
        <x:v>0</x:v>
      </x:c>
      <x:c r="S97" s="34" t="n">
        <x:f>'直接配方'!$F$200*S33</x:f>
        <x:v>0</x:v>
      </x:c>
      <x:c r="T97" s="34" t="n">
        <x:f>'直接配方'!$F$200*T33</x:f>
        <x:v>0</x:v>
      </x:c>
      <x:c r="U97" s="34" t="n">
        <x:f>'直接配方'!$F$200*U33</x:f>
        <x:v>0</x:v>
      </x:c>
      <x:c r="V97" s="34" t="n">
        <x:f>'直接配方'!$F$200*V33</x:f>
        <x:v>0</x:v>
      </x:c>
      <x:c r="W97" s="34" t="n">
        <x:f>'直接配方'!$F$200*W33</x:f>
        <x:v>0</x:v>
      </x:c>
      <x:c r="X97" s="34" t="n">
        <x:f>'直接配方'!$F$200*X33</x:f>
        <x:v>0</x:v>
      </x:c>
      <x:c r="Y97" s="34" t="n">
        <x:f>'直接配方'!$F$200*Y33</x:f>
        <x:v>0</x:v>
      </x:c>
      <x:c r="Z97" s="34" t="n">
        <x:f>'直接配方'!$F$200*Z33</x:f>
        <x:v>0</x:v>
      </x:c>
      <x:c r="AA97" s="34" t="n">
        <x:f>'直接配方'!$F$200*AA33</x:f>
        <x:v>0</x:v>
      </x:c>
      <x:c r="AB97" s="34" t="n">
        <x:f>'直接配方'!$F$200*AB33</x:f>
        <x:v>0</x:v>
      </x:c>
      <x:c r="AC97" s="34" t="n">
        <x:f>'直接配方'!$F$200*AC33</x:f>
        <x:v>0</x:v>
      </x:c>
    </x:row>
    <x:row r="98" ht="40" customHeight="1">
      <x:c r="A98" s="22" t="str">
        <x:v>E08</x:v>
      </x:c>
      <x:c r="B98" s="22" t="str">
        <x:v>氧气</x:v>
      </x:c>
      <x:c r="C98" s="22" t="str">
        <x:v>kg</x:v>
      </x:c>
      <x:c r="D98" s="34" t="n">
        <x:f>'直接配方'!$F$201*D34</x:f>
        <x:v>0</x:v>
      </x:c>
      <x:c r="E98" s="34" t="n">
        <x:f>'直接配方'!$F$201*E34</x:f>
        <x:v>2.7507344209013063</x:v>
      </x:c>
      <x:c r="F98" s="34" t="n">
        <x:f>'直接配方'!$F$201*F34</x:f>
        <x:v>0</x:v>
      </x:c>
      <x:c r="G98" s="34" t="n">
        <x:f>'直接配方'!$F$201*G34</x:f>
        <x:v>0</x:v>
      </x:c>
      <x:c r="H98" s="34" t="n">
        <x:f>'直接配方'!$F$201*H34</x:f>
        <x:v>0</x:v>
      </x:c>
      <x:c r="I98" s="34" t="n">
        <x:f>'直接配方'!$F$201*I34</x:f>
        <x:v>0</x:v>
      </x:c>
      <x:c r="J98" s="34" t="n">
        <x:f>'直接配方'!$F$201*J34</x:f>
        <x:v>0</x:v>
      </x:c>
      <x:c r="K98" s="34" t="n">
        <x:f>'直接配方'!$F$201*K34</x:f>
        <x:v>0</x:v>
      </x:c>
      <x:c r="L98" s="34" t="n">
        <x:f>'直接配方'!$F$201*L34</x:f>
        <x:v>0</x:v>
      </x:c>
      <x:c r="M98" s="34" t="n">
        <x:f>'直接配方'!$F$201*M34</x:f>
        <x:v>0</x:v>
      </x:c>
      <x:c r="N98" s="34" t="n">
        <x:f>'直接配方'!$F$201*N34</x:f>
        <x:v>0</x:v>
      </x:c>
      <x:c r="O98" s="34" t="n">
        <x:f>'直接配方'!$F$201*O34</x:f>
        <x:v>0</x:v>
      </x:c>
      <x:c r="P98" s="34" t="n">
        <x:f>'直接配方'!$F$201*P34</x:f>
        <x:v>0</x:v>
      </x:c>
      <x:c r="Q98" s="34" t="n">
        <x:f>'直接配方'!$F$201*Q34</x:f>
        <x:v>0</x:v>
      </x:c>
      <x:c r="R98" s="34" t="n">
        <x:f>'直接配方'!$F$201*R34</x:f>
        <x:v>0</x:v>
      </x:c>
      <x:c r="S98" s="34" t="n">
        <x:f>'直接配方'!$F$201*S34</x:f>
        <x:v>0</x:v>
      </x:c>
      <x:c r="T98" s="34" t="n">
        <x:f>'直接配方'!$F$201*T34</x:f>
        <x:v>0</x:v>
      </x:c>
      <x:c r="U98" s="34" t="n">
        <x:f>'直接配方'!$F$201*U34</x:f>
        <x:v>0</x:v>
      </x:c>
      <x:c r="V98" s="34" t="n">
        <x:f>'直接配方'!$F$201*V34</x:f>
        <x:v>0</x:v>
      </x:c>
      <x:c r="W98" s="34" t="n">
        <x:f>'直接配方'!$F$201*W34</x:f>
        <x:v>0</x:v>
      </x:c>
      <x:c r="X98" s="34" t="n">
        <x:f>'直接配方'!$F$201*X34</x:f>
        <x:v>0</x:v>
      </x:c>
      <x:c r="Y98" s="34" t="n">
        <x:f>'直接配方'!$F$201*Y34</x:f>
        <x:v>0</x:v>
      </x:c>
      <x:c r="Z98" s="34" t="n">
        <x:f>'直接配方'!$F$201*Z34</x:f>
        <x:v>0</x:v>
      </x:c>
      <x:c r="AA98" s="34" t="n">
        <x:f>'直接配方'!$F$201*AA34</x:f>
        <x:v>0</x:v>
      </x:c>
      <x:c r="AB98" s="34" t="n">
        <x:f>'直接配方'!$F$201*AB34</x:f>
        <x:v>0</x:v>
      </x:c>
      <x:c r="AC98" s="34" t="n">
        <x:f>'直接配方'!$F$201*AC34</x:f>
        <x:v>0</x:v>
      </x:c>
    </x:row>
    <x:row r="99" ht="40" customHeight="1">
      <x:c r="A99" s="22" t="str">
        <x:v>E09</x:v>
      </x:c>
      <x:c r="B99" s="22" t="str">
        <x:v>镍铁蓄电池模块</x:v>
      </x:c>
      <x:c r="C99" s="22" t="str">
        <x:v>kWhₑ名义容量</x:v>
      </x:c>
      <x:c r="D99" s="34" t="n">
        <x:f>'直接配方'!$F$202*D58+'直接配方'!$F$203*D36+'直接配方'!$F$204*D37+'直接配方'!$F$205*D57+'直接配方'!$F$206*D32+'直接配方'!$F$207*D46+'直接配方'!$F$208*D38+'直接配方'!$F$209*D29</x:f>
        <x:v>23.99652970090305</x:v>
      </x:c>
      <x:c r="E99" s="34" t="n">
        <x:f>'直接配方'!$F$202*E58+'直接配方'!$F$203*E36+'直接配方'!$F$204*E37+'直接配方'!$F$205*E57+'直接配方'!$F$206*E32+'直接配方'!$F$207*E46+'直接配方'!$F$208*E38+'直接配方'!$F$209*E29</x:f>
        <x:v>6.348179569146524</x:v>
      </x:c>
      <x:c r="F99" s="34" t="n">
        <x:f>'直接配方'!$F$202*F58+'直接配方'!$F$203*F36+'直接配方'!$F$204*F37+'直接配方'!$F$205*F57+'直接配方'!$F$206*F32+'直接配方'!$F$207*F46+'直接配方'!$F$208*F38+'直接配方'!$F$209*F29</x:f>
        <x:v>0</x:v>
      </x:c>
      <x:c r="G99" s="34" t="n">
        <x:f>'直接配方'!$F$202*G58+'直接配方'!$F$203*G36+'直接配方'!$F$204*G37+'直接配方'!$F$205*G57+'直接配方'!$F$206*G32+'直接配方'!$F$207*G46+'直接配方'!$F$208*G38+'直接配方'!$F$209*G29</x:f>
        <x:v>0</x:v>
      </x:c>
      <x:c r="H99" s="34" t="n">
        <x:f>'直接配方'!$F$202*H58+'直接配方'!$F$203*H36+'直接配方'!$F$204*H37+'直接配方'!$F$205*H57+'直接配方'!$F$206*H32+'直接配方'!$F$207*H46+'直接配方'!$F$208*H38+'直接配方'!$F$209*H29</x:f>
        <x:v>0</x:v>
      </x:c>
      <x:c r="I99" s="34" t="n">
        <x:f>'直接配方'!$F$202*I58+'直接配方'!$F$203*I36+'直接配方'!$F$204*I37+'直接配方'!$F$205*I57+'直接配方'!$F$206*I32+'直接配方'!$F$207*I46+'直接配方'!$F$208*I38+'直接配方'!$F$209*I29</x:f>
        <x:v>0</x:v>
      </x:c>
      <x:c r="J99" s="34" t="n">
        <x:f>'直接配方'!$F$202*J58+'直接配方'!$F$203*J36+'直接配方'!$F$204*J37+'直接配方'!$F$205*J57+'直接配方'!$F$206*J32+'直接配方'!$F$207*J46+'直接配方'!$F$208*J38+'直接配方'!$F$209*J29</x:f>
        <x:v>18.557948428686544</x:v>
      </x:c>
      <x:c r="K99" s="34" t="n">
        <x:f>'直接配方'!$F$202*K58+'直接配方'!$F$203*K36+'直接配方'!$F$204*K37+'直接配方'!$F$205*K57+'直接配方'!$F$206*K32+'直接配方'!$F$207*K46+'直接配方'!$F$208*K38+'直接配方'!$F$209*K29</x:f>
        <x:v>0</x:v>
      </x:c>
      <x:c r="L99" s="34" t="n">
        <x:f>'直接配方'!$F$202*L58+'直接配方'!$F$203*L36+'直接配方'!$F$204*L37+'直接配方'!$F$205*L57+'直接配方'!$F$206*L32+'直接配方'!$F$207*L46+'直接配方'!$F$208*L38+'直接配方'!$F$209*L29</x:f>
        <x:v>0</x:v>
      </x:c>
      <x:c r="M99" s="34" t="n">
        <x:f>'直接配方'!$F$202*M58+'直接配方'!$F$203*M36+'直接配方'!$F$204*M37+'直接配方'!$F$205*M57+'直接配方'!$F$206*M32+'直接配方'!$F$207*M46+'直接配方'!$F$208*M38+'直接配方'!$F$209*M29</x:f>
        <x:v>0</x:v>
      </x:c>
      <x:c r="N99" s="34" t="n">
        <x:f>'直接配方'!$F$202*N58+'直接配方'!$F$203*N36+'直接配方'!$F$204*N37+'直接配方'!$F$205*N57+'直接配方'!$F$206*N32+'直接配方'!$F$207*N46+'直接配方'!$F$208*N38+'直接配方'!$F$209*N29</x:f>
        <x:v>2.657445860440246</x:v>
      </x:c>
      <x:c r="O99" s="34" t="n">
        <x:f>'直接配方'!$F$202*O58+'直接配方'!$F$203*O36+'直接配方'!$F$204*O37+'直接配方'!$F$205*O57+'直接配方'!$F$206*O32+'直接配方'!$F$207*O46+'直接配方'!$F$208*O38+'直接配方'!$F$209*O29</x:f>
        <x:v>0</x:v>
      </x:c>
      <x:c r="P99" s="34" t="n">
        <x:f>'直接配方'!$F$202*P58+'直接配方'!$F$203*P36+'直接配方'!$F$204*P37+'直接配方'!$F$205*P57+'直接配方'!$F$206*P32+'直接配方'!$F$207*P46+'直接配方'!$F$208*P38+'直接配方'!$F$209*P29</x:f>
        <x:v>0</x:v>
      </x:c>
      <x:c r="Q99" s="34" t="n">
        <x:f>'直接配方'!$F$202*Q58+'直接配方'!$F$203*Q36+'直接配方'!$F$204*Q37+'直接配方'!$F$205*Q57+'直接配方'!$F$206*Q32+'直接配方'!$F$207*Q46+'直接配方'!$F$208*Q38+'直接配方'!$F$209*Q29</x:f>
        <x:v>0.6258851855348881</x:v>
      </x:c>
      <x:c r="R99" s="34" t="n">
        <x:f>'直接配方'!$F$202*R58+'直接配方'!$F$203*R36+'直接配方'!$F$204*R37+'直接配方'!$F$205*R57+'直接配方'!$F$206*R32+'直接配方'!$F$207*R46+'直接配方'!$F$208*R38+'直接配方'!$F$209*R29</x:f>
        <x:v>4.834068624807188</x:v>
      </x:c>
      <x:c r="S99" s="34" t="n">
        <x:f>'直接配方'!$F$202*S58+'直接配方'!$F$203*S36+'直接配方'!$F$204*S37+'直接配方'!$F$205*S57+'直接配方'!$F$206*S32+'直接配方'!$F$207*S46+'直接配方'!$F$208*S38+'直接配方'!$F$209*S29</x:f>
        <x:v>0</x:v>
      </x:c>
      <x:c r="T99" s="34" t="n">
        <x:f>'直接配方'!$F$202*T58+'直接配方'!$F$203*T36+'直接配方'!$F$204*T37+'直接配方'!$F$205*T57+'直接配方'!$F$206*T32+'直接配方'!$F$207*T46+'直接配方'!$F$208*T38+'直接配方'!$F$209*T29</x:f>
        <x:v>0</x:v>
      </x:c>
      <x:c r="U99" s="34" t="n">
        <x:f>'直接配方'!$F$202*U58+'直接配方'!$F$203*U36+'直接配方'!$F$204*U37+'直接配方'!$F$205*U57+'直接配方'!$F$206*U32+'直接配方'!$F$207*U46+'直接配方'!$F$208*U38+'直接配方'!$F$209*U29</x:f>
        <x:v>0</x:v>
      </x:c>
      <x:c r="V99" s="34" t="n">
        <x:f>'直接配方'!$F$202*V58+'直接配方'!$F$203*V36+'直接配方'!$F$204*V37+'直接配方'!$F$205*V57+'直接配方'!$F$206*V32+'直接配方'!$F$207*V46+'直接配方'!$F$208*V38+'直接配方'!$F$209*V29</x:f>
        <x:v>0</x:v>
      </x:c>
      <x:c r="W99" s="34" t="n">
        <x:f>'直接配方'!$F$202*W58+'直接配方'!$F$203*W36+'直接配方'!$F$204*W37+'直接配方'!$F$205*W57+'直接配方'!$F$206*W32+'直接配方'!$F$207*W46+'直接配方'!$F$208*W38+'直接配方'!$F$209*W29</x:f>
        <x:v>0</x:v>
      </x:c>
      <x:c r="X99" s="34" t="n">
        <x:f>'直接配方'!$F$202*X58+'直接配方'!$F$203*X36+'直接配方'!$F$204*X37+'直接配方'!$F$205*X57+'直接配方'!$F$206*X32+'直接配方'!$F$207*X46+'直接配方'!$F$208*X38+'直接配方'!$F$209*X29</x:f>
        <x:v>0</x:v>
      </x:c>
      <x:c r="Y99" s="34" t="n">
        <x:f>'直接配方'!$F$202*Y58+'直接配方'!$F$203*Y36+'直接配方'!$F$204*Y37+'直接配方'!$F$205*Y57+'直接配方'!$F$206*Y32+'直接配方'!$F$207*Y46+'直接配方'!$F$208*Y38+'直接配方'!$F$209*Y29</x:f>
        <x:v>0</x:v>
      </x:c>
      <x:c r="Z99" s="34" t="n">
        <x:f>'直接配方'!$F$202*Z58+'直接配方'!$F$203*Z36+'直接配方'!$F$204*Z37+'直接配方'!$F$205*Z57+'直接配方'!$F$206*Z32+'直接配方'!$F$207*Z46+'直接配方'!$F$208*Z38+'直接配方'!$F$209*Z29</x:f>
        <x:v>0</x:v>
      </x:c>
      <x:c r="AA99" s="34" t="n">
        <x:f>'直接配方'!$F$202*AA58+'直接配方'!$F$203*AA36+'直接配方'!$F$204*AA37+'直接配方'!$F$205*AA57+'直接配方'!$F$206*AA32+'直接配方'!$F$207*AA46+'直接配方'!$F$208*AA38+'直接配方'!$F$209*AA29</x:f>
        <x:v>0.5</x:v>
      </x:c>
      <x:c r="AB99" s="34" t="n">
        <x:f>'直接配方'!$F$202*AB58+'直接配方'!$F$203*AB36+'直接配方'!$F$204*AB37+'直接配方'!$F$205*AB57+'直接配方'!$F$206*AB32+'直接配方'!$F$207*AB46+'直接配方'!$F$208*AB38+'直接配方'!$F$209*AB29</x:f>
        <x:v>0</x:v>
      </x:c>
      <x:c r="AC99" s="34" t="n">
        <x:f>'直接配方'!$F$202*AC58+'直接配方'!$F$203*AC36+'直接配方'!$F$204*AC37+'直接配方'!$F$205*AC57+'直接配方'!$F$206*AC32+'直接配方'!$F$207*AC46+'直接配方'!$F$208*AC38+'直接配方'!$F$209*AC29</x:f>
        <x:v>0</x:v>
      </x:c>
    </x:row>
    <x:row r="100" ht="40" customHeight="1">
      <x:c r="A100" s="22" t="str">
        <x:v>E10</x:v>
      </x:c>
      <x:c r="B100" s="22" t="str">
        <x:v>甲烷—氧气发电机套件</x:v>
      </x:c>
      <x:c r="C100" s="22" t="str">
        <x:v>套（1kWₑ名义输出）</x:v>
      </x:c>
      <x:c r="D100" s="34" t="n">
        <x:f>'直接配方'!$F$210*D37+'直接配方'!$F$211*D38+'直接配方'!$F$212*D49+'直接配方'!$F$213*D51+'直接配方'!$F$214*D27+'直接配方'!$F$215*D28</x:f>
        <x:v>31.051980388598167</x:v>
      </x:c>
      <x:c r="E100" s="34" t="n">
        <x:f>'直接配方'!$F$210*E37+'直接配方'!$F$211*E38+'直接配方'!$F$212*E49+'直接配方'!$F$213*E51+'直接配方'!$F$214*E27+'直接配方'!$F$215*E28</x:f>
        <x:v>1.009428842128149</x:v>
      </x:c>
      <x:c r="F100" s="34" t="n">
        <x:f>'直接配方'!$F$210*F37+'直接配方'!$F$211*F38+'直接配方'!$F$212*F49+'直接配方'!$F$213*F51+'直接配方'!$F$214*F27+'直接配方'!$F$215*F28</x:f>
        <x:v>0</x:v>
      </x:c>
      <x:c r="G100" s="34" t="n">
        <x:f>'直接配方'!$F$210*G37+'直接配方'!$F$211*G38+'直接配方'!$F$212*G49+'直接配方'!$F$213*G51+'直接配方'!$F$214*G27+'直接配方'!$F$215*G28</x:f>
        <x:v>0</x:v>
      </x:c>
      <x:c r="H100" s="34" t="n">
        <x:f>'直接配方'!$F$210*H37+'直接配方'!$F$211*H38+'直接配方'!$F$212*H49+'直接配方'!$F$213*H51+'直接配方'!$F$214*H27+'直接配方'!$F$215*H28</x:f>
        <x:v>1.1111111111111112</x:v>
      </x:c>
      <x:c r="I100" s="34" t="n">
        <x:f>'直接配方'!$F$210*I37+'直接配方'!$F$211*I38+'直接配方'!$F$212*I49+'直接配方'!$F$213*I51+'直接配方'!$F$214*I27+'直接配方'!$F$215*I28</x:f>
        <x:v>0.2544590986325755</x:v>
      </x:c>
      <x:c r="J100" s="34" t="n">
        <x:f>'直接配方'!$F$210*J37+'直接配方'!$F$211*J38+'直接配方'!$F$212*J49+'直接配方'!$F$213*J51+'直接配方'!$F$214*J27+'直接配方'!$F$215*J28</x:f>
        <x:v>85.61247703464947</x:v>
      </x:c>
      <x:c r="K100" s="34" t="n">
        <x:f>'直接配方'!$F$210*K37+'直接配方'!$F$211*K38+'直接配方'!$F$212*K49+'直接配方'!$F$213*K51+'直接配方'!$F$214*K27+'直接配方'!$F$215*K28</x:f>
        <x:v>0</x:v>
      </x:c>
      <x:c r="L100" s="34" t="n">
        <x:f>'直接配方'!$F$210*L37+'直接配方'!$F$211*L38+'直接配方'!$F$212*L49+'直接配方'!$F$213*L51+'直接配方'!$F$214*L27+'直接配方'!$F$215*L28</x:f>
        <x:v>0</x:v>
      </x:c>
      <x:c r="M100" s="34" t="n">
        <x:f>'直接配方'!$F$210*M37+'直接配方'!$F$211*M38+'直接配方'!$F$212*M49+'直接配方'!$F$213*M51+'直接配方'!$F$214*M27+'直接配方'!$F$215*M28</x:f>
        <x:v>0</x:v>
      </x:c>
      <x:c r="N100" s="34" t="n">
        <x:f>'直接配方'!$F$210*N37+'直接配方'!$F$211*N38+'直接配方'!$F$212*N49+'直接配方'!$F$213*N51+'直接配方'!$F$214*N27+'直接配方'!$F$215*N28</x:f>
        <x:v>0</x:v>
      </x:c>
      <x:c r="O100" s="34" t="n">
        <x:f>'直接配方'!$F$210*O37+'直接配方'!$F$211*O38+'直接配方'!$F$212*O49+'直接配方'!$F$213*O51+'直接配方'!$F$214*O27+'直接配方'!$F$215*O28</x:f>
        <x:v>0</x:v>
      </x:c>
      <x:c r="P100" s="34" t="n">
        <x:f>'直接配方'!$F$210*P37+'直接配方'!$F$211*P38+'直接配方'!$F$212*P49+'直接配方'!$F$213*P51+'直接配方'!$F$214*P27+'直接配方'!$F$215*P28</x:f>
        <x:v>0</x:v>
      </x:c>
      <x:c r="Q100" s="34" t="n">
        <x:f>'直接配方'!$F$210*Q37+'直接配方'!$F$211*Q38+'直接配方'!$F$212*Q49+'直接配方'!$F$213*Q51+'直接配方'!$F$214*Q27+'直接配方'!$F$215*Q28</x:f>
        <x:v>5.007081484279105</x:v>
      </x:c>
      <x:c r="R100" s="34" t="n">
        <x:f>'直接配方'!$F$210*R37+'直接配方'!$F$211*R38+'直接配方'!$F$212*R49+'直接配方'!$F$213*R51+'直接配方'!$F$214*R27+'直接配方'!$F$215*R28</x:f>
        <x:v>0</x:v>
      </x:c>
      <x:c r="S100" s="34" t="n">
        <x:f>'直接配方'!$F$210*S37+'直接配方'!$F$211*S38+'直接配方'!$F$212*S49+'直接配方'!$F$213*S51+'直接配方'!$F$214*S27+'直接配方'!$F$215*S28</x:f>
        <x:v>0</x:v>
      </x:c>
      <x:c r="T100" s="34" t="n">
        <x:f>'直接配方'!$F$210*T37+'直接配方'!$F$211*T38+'直接配方'!$F$212*T49+'直接配方'!$F$213*T51+'直接配方'!$F$214*T27+'直接配方'!$F$215*T28</x:f>
        <x:v>0</x:v>
      </x:c>
      <x:c r="U100" s="34" t="n">
        <x:f>'直接配方'!$F$210*U37+'直接配方'!$F$211*U38+'直接配方'!$F$212*U49+'直接配方'!$F$213*U51+'直接配方'!$F$214*U27+'直接配方'!$F$215*U28</x:f>
        <x:v>0</x:v>
      </x:c>
      <x:c r="V100" s="34" t="n">
        <x:f>'直接配方'!$F$210*V37+'直接配方'!$F$211*V38+'直接配方'!$F$212*V49+'直接配方'!$F$213*V51+'直接配方'!$F$214*V27+'直接配方'!$F$215*V28</x:f>
        <x:v>0</x:v>
      </x:c>
      <x:c r="W100" s="34" t="n">
        <x:f>'直接配方'!$F$210*W37+'直接配方'!$F$211*W38+'直接配方'!$F$212*W49+'直接配方'!$F$213*W51+'直接配方'!$F$214*W27+'直接配方'!$F$215*W28</x:f>
        <x:v>0</x:v>
      </x:c>
      <x:c r="X100" s="34" t="n">
        <x:f>'直接配方'!$F$210*X37+'直接配方'!$F$211*X38+'直接配方'!$F$212*X49+'直接配方'!$F$213*X51+'直接配方'!$F$214*X27+'直接配方'!$F$215*X28</x:f>
        <x:v>0</x:v>
      </x:c>
      <x:c r="Y100" s="34" t="n">
        <x:f>'直接配方'!$F$210*Y37+'直接配方'!$F$211*Y38+'直接配方'!$F$212*Y49+'直接配方'!$F$213*Y51+'直接配方'!$F$214*Y27+'直接配方'!$F$215*Y28</x:f>
        <x:v>1</x:v>
      </x:c>
      <x:c r="Z100" s="34" t="n">
        <x:f>'直接配方'!$F$210*Z37+'直接配方'!$F$211*Z38+'直接配方'!$F$212*Z49+'直接配方'!$F$213*Z51+'直接配方'!$F$214*Z27+'直接配方'!$F$215*Z28</x:f>
        <x:v>2</x:v>
      </x:c>
      <x:c r="AA100" s="34" t="n">
        <x:f>'直接配方'!$F$210*AA37+'直接配方'!$F$211*AA38+'直接配方'!$F$212*AA49+'直接配方'!$F$213*AA51+'直接配方'!$F$214*AA27+'直接配方'!$F$215*AA28</x:f>
        <x:v>0</x:v>
      </x:c>
      <x:c r="AB100" s="34" t="n">
        <x:f>'直接配方'!$F$210*AB37+'直接配方'!$F$211*AB38+'直接配方'!$F$212*AB49+'直接配方'!$F$213*AB51+'直接配方'!$F$214*AB27+'直接配方'!$F$215*AB28</x:f>
        <x:v>0</x:v>
      </x:c>
      <x:c r="AC100" s="34" t="n">
        <x:f>'直接配方'!$F$210*AC37+'直接配方'!$F$211*AC38+'直接配方'!$F$212*AC49+'直接配方'!$F$213*AC51+'直接配方'!$F$214*AC27+'直接配方'!$F$215*AC28</x:f>
        <x:v>0</x:v>
      </x:c>
    </x:row>
  </x:sheetData>
  <x:mergeCells>
    <x:mergeCell ref="A1:AC1"/>
    <x:mergeCell ref="A2:AC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3" hidden="0" customWidth="1"/>
    <x:col min="3" max="3" width="29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</x:cols>
  <x:sheetData>
    <x:row r="1" ht="34" customHeight="1">
      <x:c r="A1" s="4" t="str">
        <x:v>副产系数展开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20" customHeight="1">
      <x:c r="A2" s="9" t="str">
        <x:v>把全部上游副产出展开，尚未在不同工艺之间抵扣。不是净排放，也不是可保证回收量。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</x:row>
    <x:row r="5" ht="38" customHeight="1">
      <x:c r="A5" s="15" t="str">
        <x:v>物料ID</x:v>
      </x:c>
      <x:c r="B5" s="15" t="str">
        <x:v>物料</x:v>
      </x:c>
      <x:c r="C5" s="15" t="str">
        <x:v>一单位</x:v>
      </x:c>
      <x:c r="D5" s="15" t="str">
        <x:v>CO</x:v>
      </x:c>
      <x:c r="E5" s="15" t="str">
        <x:v>CO2</x:v>
      </x:c>
      <x:c r="F5" s="15" t="str">
        <x:v>Cl2</x:v>
      </x:c>
      <x:c r="G5" s="15" t="str">
        <x:v>H2</x:v>
      </x:c>
      <x:c r="H5" s="15" t="str">
        <x:v>H2O</x:v>
      </x:c>
      <x:c r="I5" s="15" t="str">
        <x:v>HCl</x:v>
      </x:c>
      <x:c r="J5" s="15" t="str">
        <x:v>HF</x:v>
      </x:c>
      <x:c r="K5" s="15" t="str">
        <x:v>O2</x:v>
      </x:c>
      <x:c r="L5" s="15" t="str">
        <x:v>SO2</x:v>
      </x:c>
      <x:c r="M5" s="15" t="str">
        <x:v>gypsum</x:v>
      </x:c>
    </x:row>
    <x:row r="6" ht="40" customHeight="1">
      <x:c r="A6" s="22" t="str">
        <x:v>R01</x:v>
      </x:c>
      <x:c r="B6" s="22" t="str">
        <x:v>水冰中H₂O</x:v>
      </x:c>
      <x:c r="C6" s="22" t="str">
        <x:v>kg有效组分当量</x:v>
      </x:c>
      <x:c r="D6" s="34" t="n">
        <x:f>0</x:f>
        <x:v>0</x:v>
      </x:c>
      <x:c r="E6" s="34" t="n">
        <x:f>0</x:f>
        <x:v>0</x:v>
      </x:c>
      <x:c r="F6" s="34" t="n">
        <x:f>0</x:f>
        <x:v>0</x:v>
      </x:c>
      <x:c r="G6" s="34" t="n">
        <x:f>0</x:f>
        <x:v>0</x:v>
      </x:c>
      <x:c r="H6" s="34" t="n">
        <x:f>0</x:f>
        <x:v>0</x:v>
      </x:c>
      <x:c r="I6" s="34" t="n">
        <x:f>0</x:f>
        <x:v>0</x:v>
      </x:c>
      <x:c r="J6" s="34" t="n">
        <x:f>0</x:f>
        <x:v>0</x:v>
      </x:c>
      <x:c r="K6" s="34" t="n">
        <x:f>0</x:f>
        <x:v>0</x:v>
      </x:c>
      <x:c r="L6" s="34" t="n">
        <x:f>0</x:f>
        <x:v>0</x:v>
      </x:c>
      <x:c r="M6" s="34" t="n">
        <x:f>0</x:f>
        <x:v>0</x:v>
      </x:c>
    </x:row>
    <x:row r="7" ht="40" customHeight="1">
      <x:c r="A7" s="22" t="str">
        <x:v>R02</x:v>
      </x:c>
      <x:c r="B7" s="22" t="str">
        <x:v>大气CO₂组分</x:v>
      </x:c>
      <x:c r="C7" s="22" t="str">
        <x:v>kg有效组分当量</x:v>
      </x:c>
      <x:c r="D7" s="34" t="n">
        <x:f>0</x:f>
        <x:v>0</x:v>
      </x:c>
      <x:c r="E7" s="34" t="n">
        <x:f>0</x:f>
        <x:v>0</x:v>
      </x:c>
      <x:c r="F7" s="34" t="n">
        <x:f>0</x:f>
        <x:v>0</x:v>
      </x:c>
      <x:c r="G7" s="34" t="n">
        <x:f>0</x:f>
        <x:v>0</x:v>
      </x:c>
      <x:c r="H7" s="34" t="n">
        <x:f>0</x:f>
        <x:v>0</x:v>
      </x:c>
      <x:c r="I7" s="34" t="n">
        <x:f>0</x:f>
        <x:v>0</x:v>
      </x:c>
      <x:c r="J7" s="34" t="n">
        <x:f>0</x:f>
        <x:v>0</x:v>
      </x:c>
      <x:c r="K7" s="34" t="n">
        <x:f>0</x:f>
        <x:v>0</x:v>
      </x:c>
      <x:c r="L7" s="34" t="n">
        <x:f>0</x:f>
        <x:v>0</x:v>
      </x:c>
      <x:c r="M7" s="34" t="n">
        <x:f>0</x:f>
        <x:v>0</x:v>
      </x:c>
    </x:row>
    <x:row r="8" ht="40" customHeight="1">
      <x:c r="A8" s="22" t="str">
        <x:v>R03</x:v>
      </x:c>
      <x:c r="B8" s="22" t="str">
        <x:v>大气N₂组分</x:v>
      </x:c>
      <x:c r="C8" s="22" t="str">
        <x:v>kg有效组分当量</x:v>
      </x:c>
      <x:c r="D8" s="34" t="n">
        <x:f>0</x:f>
        <x:v>0</x:v>
      </x:c>
      <x:c r="E8" s="34" t="n">
        <x:f>0</x:f>
        <x:v>0</x:v>
      </x:c>
      <x:c r="F8" s="34" t="n">
        <x:f>0</x:f>
        <x:v>0</x:v>
      </x:c>
      <x:c r="G8" s="34" t="n">
        <x:f>0</x:f>
        <x:v>0</x:v>
      </x:c>
      <x:c r="H8" s="34" t="n">
        <x:f>0</x:f>
        <x:v>0</x:v>
      </x:c>
      <x:c r="I8" s="34" t="n">
        <x:f>0</x:f>
        <x:v>0</x:v>
      </x:c>
      <x:c r="J8" s="34" t="n">
        <x:f>0</x:f>
        <x:v>0</x:v>
      </x:c>
      <x:c r="K8" s="34" t="n">
        <x:f>0</x:f>
        <x:v>0</x:v>
      </x:c>
      <x:c r="L8" s="34" t="n">
        <x:f>0</x:f>
        <x:v>0</x:v>
      </x:c>
      <x:c r="M8" s="34" t="n">
        <x:f>0</x:f>
        <x:v>0</x:v>
      </x:c>
    </x:row>
    <x:row r="9" ht="40" customHeight="1">
      <x:c r="A9" s="22" t="str">
        <x:v>R04</x:v>
      </x:c>
      <x:c r="B9" s="22" t="str">
        <x:v>大气Ar组分</x:v>
      </x:c>
      <x:c r="C9" s="22" t="str">
        <x:v>kg有效组分当量</x:v>
      </x:c>
      <x:c r="D9" s="34" t="n">
        <x:f>0</x:f>
        <x:v>0</x:v>
      </x:c>
      <x:c r="E9" s="34" t="n">
        <x:f>0</x:f>
        <x:v>0</x:v>
      </x:c>
      <x:c r="F9" s="34" t="n">
        <x:f>0</x:f>
        <x:v>0</x:v>
      </x:c>
      <x:c r="G9" s="34" t="n">
        <x:f>0</x:f>
        <x:v>0</x:v>
      </x:c>
      <x:c r="H9" s="34" t="n">
        <x:f>0</x:f>
        <x:v>0</x:v>
      </x:c>
      <x:c r="I9" s="34" t="n">
        <x:f>0</x:f>
        <x:v>0</x:v>
      </x:c>
      <x:c r="J9" s="34" t="n">
        <x:f>0</x:f>
        <x:v>0</x:v>
      </x:c>
      <x:c r="K9" s="34" t="n">
        <x:f>0</x:f>
        <x:v>0</x:v>
      </x:c>
      <x:c r="L9" s="34" t="n">
        <x:f>0</x:f>
        <x:v>0</x:v>
      </x:c>
      <x:c r="M9" s="34" t="n">
        <x:f>0</x:f>
        <x:v>0</x:v>
      </x:c>
    </x:row>
    <x:row r="10" ht="40" customHeight="1">
      <x:c r="A10" s="22" t="str">
        <x:v>R05</x:v>
      </x:c>
      <x:c r="B10" s="22" t="str">
        <x:v>可用玄武质风化层</x:v>
      </x:c>
      <x:c r="C10" s="22" t="str">
        <x:v>kg有效组分当量</x:v>
      </x:c>
      <x:c r="D10" s="34" t="n">
        <x:f>0</x:f>
        <x:v>0</x:v>
      </x:c>
      <x:c r="E10" s="34" t="n">
        <x:f>0</x:f>
        <x:v>0</x:v>
      </x:c>
      <x:c r="F10" s="34" t="n">
        <x:f>0</x:f>
        <x:v>0</x:v>
      </x:c>
      <x:c r="G10" s="34" t="n">
        <x:f>0</x:f>
        <x:v>0</x:v>
      </x:c>
      <x:c r="H10" s="34" t="n">
        <x:f>0</x:f>
        <x:v>0</x:v>
      </x:c>
      <x:c r="I10" s="34" t="n">
        <x:f>0</x:f>
        <x:v>0</x:v>
      </x:c>
      <x:c r="J10" s="34" t="n">
        <x:f>0</x:f>
        <x:v>0</x:v>
      </x:c>
      <x:c r="K10" s="34" t="n">
        <x:f>0</x:f>
        <x:v>0</x:v>
      </x:c>
      <x:c r="L10" s="34" t="n">
        <x:f>0</x:f>
        <x:v>0</x:v>
      </x:c>
      <x:c r="M10" s="34" t="n">
        <x:f>0</x:f>
        <x:v>0</x:v>
      </x:c>
    </x:row>
    <x:row r="11" ht="40" customHeight="1">
      <x:c r="A11" s="22" t="str">
        <x:v>R06</x:v>
      </x:c>
      <x:c r="B11" s="22" t="str">
        <x:v>富硅原料SiO₂当量</x:v>
      </x:c>
      <x:c r="C11" s="22" t="str">
        <x:v>kg有效组分当量</x:v>
      </x:c>
      <x:c r="D11" s="34" t="n">
        <x:f>0</x:f>
        <x:v>0</x:v>
      </x:c>
      <x:c r="E11" s="34" t="n">
        <x:f>0</x:f>
        <x:v>0</x:v>
      </x:c>
      <x:c r="F11" s="34" t="n">
        <x:f>0</x:f>
        <x:v>0</x:v>
      </x:c>
      <x:c r="G11" s="34" t="n">
        <x:f>0</x:f>
        <x:v>0</x:v>
      </x:c>
      <x:c r="H11" s="34" t="n">
        <x:f>0</x:f>
        <x:v>0</x:v>
      </x:c>
      <x:c r="I11" s="34" t="n">
        <x:f>0</x:f>
        <x:v>0</x:v>
      </x:c>
      <x:c r="J11" s="34" t="n">
        <x:f>0</x:f>
        <x:v>0</x:v>
      </x:c>
      <x:c r="K11" s="34" t="n">
        <x:f>0</x:f>
        <x:v>0</x:v>
      </x:c>
      <x:c r="L11" s="34" t="n">
        <x:f>0</x:f>
        <x:v>0</x:v>
      </x:c>
      <x:c r="M11" s="34" t="n">
        <x:f>0</x:f>
        <x:v>0</x:v>
      </x:c>
    </x:row>
    <x:row r="12" ht="40" customHeight="1">
      <x:c r="A12" s="22" t="str">
        <x:v>R07</x:v>
      </x:c>
      <x:c r="B12" s="22" t="str">
        <x:v>铁矿Fe₂O₃当量</x:v>
      </x:c>
      <x:c r="C12" s="22" t="str">
        <x:v>kg有效组分当量</x:v>
      </x:c>
      <x:c r="D12" s="34" t="n">
        <x:f>0</x:f>
        <x:v>0</x:v>
      </x:c>
      <x:c r="E12" s="34" t="n">
        <x:f>0</x:f>
        <x:v>0</x:v>
      </x:c>
      <x:c r="F12" s="34" t="n">
        <x:f>0</x:f>
        <x:v>0</x:v>
      </x:c>
      <x:c r="G12" s="34" t="n">
        <x:f>0</x:f>
        <x:v>0</x:v>
      </x:c>
      <x:c r="H12" s="34" t="n">
        <x:f>0</x:f>
        <x:v>0</x:v>
      </x:c>
      <x:c r="I12" s="34" t="n">
        <x:f>0</x:f>
        <x:v>0</x:v>
      </x:c>
      <x:c r="J12" s="34" t="n">
        <x:f>0</x:f>
        <x:v>0</x:v>
      </x:c>
      <x:c r="K12" s="34" t="n">
        <x:f>0</x:f>
        <x:v>0</x:v>
      </x:c>
      <x:c r="L12" s="34" t="n">
        <x:f>0</x:f>
        <x:v>0</x:v>
      </x:c>
      <x:c r="M12" s="34" t="n">
        <x:f>0</x:f>
        <x:v>0</x:v>
      </x:c>
    </x:row>
    <x:row r="13" ht="40" customHeight="1">
      <x:c r="A13" s="22" t="str">
        <x:v>R08</x:v>
      </x:c>
      <x:c r="B13" s="22" t="str">
        <x:v>碳酸钙原料CaCO₃当量</x:v>
      </x:c>
      <x:c r="C13" s="22" t="str">
        <x:v>kg有效组分当量</x:v>
      </x:c>
      <x:c r="D13" s="34" t="n">
        <x:f>0</x:f>
        <x:v>0</x:v>
      </x:c>
      <x:c r="E13" s="34" t="n">
        <x:f>0</x:f>
        <x:v>0</x:v>
      </x:c>
      <x:c r="F13" s="34" t="n">
        <x:f>0</x:f>
        <x:v>0</x:v>
      </x:c>
      <x:c r="G13" s="34" t="n">
        <x:f>0</x:f>
        <x:v>0</x:v>
      </x:c>
      <x:c r="H13" s="34" t="n">
        <x:f>0</x:f>
        <x:v>0</x:v>
      </x:c>
      <x:c r="I13" s="34" t="n">
        <x:f>0</x:f>
        <x:v>0</x:v>
      </x:c>
      <x:c r="J13" s="34" t="n">
        <x:f>0</x:f>
        <x:v>0</x:v>
      </x:c>
      <x:c r="K13" s="34" t="n">
        <x:f>0</x:f>
        <x:v>0</x:v>
      </x:c>
      <x:c r="L13" s="34" t="n">
        <x:f>0</x:f>
        <x:v>0</x:v>
      </x:c>
      <x:c r="M13" s="34" t="n">
        <x:f>0</x:f>
        <x:v>0</x:v>
      </x:c>
    </x:row>
    <x:row r="14" ht="40" customHeight="1">
      <x:c r="A14" s="22" t="str">
        <x:v>R09</x:v>
      </x:c>
      <x:c r="B14" s="22" t="str">
        <x:v>天然硫S</x:v>
      </x:c>
      <x:c r="C14" s="22" t="str">
        <x:v>kg有效组分当量</x:v>
      </x:c>
      <x:c r="D14" s="34" t="n">
        <x:f>0</x:f>
        <x:v>0</x:v>
      </x:c>
      <x:c r="E14" s="34" t="n">
        <x:f>0</x:f>
        <x:v>0</x:v>
      </x:c>
      <x:c r="F14" s="34" t="n">
        <x:f>0</x:f>
        <x:v>0</x:v>
      </x:c>
      <x:c r="G14" s="34" t="n">
        <x:f>0</x:f>
        <x:v>0</x:v>
      </x:c>
      <x:c r="H14" s="34" t="n">
        <x:f>0</x:f>
        <x:v>0</x:v>
      </x:c>
      <x:c r="I14" s="34" t="n">
        <x:f>0</x:f>
        <x:v>0</x:v>
      </x:c>
      <x:c r="J14" s="34" t="n">
        <x:f>0</x:f>
        <x:v>0</x:v>
      </x:c>
      <x:c r="K14" s="34" t="n">
        <x:f>0</x:f>
        <x:v>0</x:v>
      </x:c>
      <x:c r="L14" s="34" t="n">
        <x:f>0</x:f>
        <x:v>0</x:v>
      </x:c>
      <x:c r="M14" s="34" t="n">
        <x:f>0</x:f>
        <x:v>0</x:v>
      </x:c>
    </x:row>
    <x:row r="15" ht="40" customHeight="1">
      <x:c r="A15" s="22" t="str">
        <x:v>R10</x:v>
      </x:c>
      <x:c r="B15" s="22" t="str">
        <x:v>磷灰石Ca₅(PO₄)₃F当量</x:v>
      </x:c>
      <x:c r="C15" s="22" t="str">
        <x:v>kg有效组分当量</x:v>
      </x:c>
      <x:c r="D15" s="34" t="n">
        <x:f>0</x:f>
        <x:v>0</x:v>
      </x:c>
      <x:c r="E15" s="34" t="n">
        <x:f>0</x:f>
        <x:v>0</x:v>
      </x:c>
      <x:c r="F15" s="34" t="n">
        <x:f>0</x:f>
        <x:v>0</x:v>
      </x:c>
      <x:c r="G15" s="34" t="n">
        <x:f>0</x:f>
        <x:v>0</x:v>
      </x:c>
      <x:c r="H15" s="34" t="n">
        <x:f>0</x:f>
        <x:v>0</x:v>
      </x:c>
      <x:c r="I15" s="34" t="n">
        <x:f>0</x:f>
        <x:v>0</x:v>
      </x:c>
      <x:c r="J15" s="34" t="n">
        <x:f>0</x:f>
        <x:v>0</x:v>
      </x:c>
      <x:c r="K15" s="34" t="n">
        <x:f>0</x:f>
        <x:v>0</x:v>
      </x:c>
      <x:c r="L15" s="34" t="n">
        <x:f>0</x:f>
        <x:v>0</x:v>
      </x:c>
      <x:c r="M15" s="34" t="n">
        <x:f>0</x:f>
        <x:v>0</x:v>
      </x:c>
    </x:row>
    <x:row r="16" ht="40" customHeight="1">
      <x:c r="A16" s="22" t="str">
        <x:v>R11</x:v>
      </x:c>
      <x:c r="B16" s="22" t="str">
        <x:v>可选钾盐KCl</x:v>
      </x:c>
      <x:c r="C16" s="22" t="str">
        <x:v>kg有效组分当量</x:v>
      </x:c>
      <x:c r="D16" s="34" t="n">
        <x:f>0</x:f>
        <x:v>0</x:v>
      </x:c>
      <x:c r="E16" s="34" t="n">
        <x:f>0</x:f>
        <x:v>0</x:v>
      </x:c>
      <x:c r="F16" s="34" t="n">
        <x:f>0</x:f>
        <x:v>0</x:v>
      </x:c>
      <x:c r="G16" s="34" t="n">
        <x:f>0</x:f>
        <x:v>0</x:v>
      </x:c>
      <x:c r="H16" s="34" t="n">
        <x:f>0</x:f>
        <x:v>0</x:v>
      </x:c>
      <x:c r="I16" s="34" t="n">
        <x:f>0</x:f>
        <x:v>0</x:v>
      </x:c>
      <x:c r="J16" s="34" t="n">
        <x:f>0</x:f>
        <x:v>0</x:v>
      </x:c>
      <x:c r="K16" s="34" t="n">
        <x:f>0</x:f>
        <x:v>0</x:v>
      </x:c>
      <x:c r="L16" s="34" t="n">
        <x:f>0</x:f>
        <x:v>0</x:v>
      </x:c>
      <x:c r="M16" s="34" t="n">
        <x:f>0</x:f>
        <x:v>0</x:v>
      </x:c>
    </x:row>
    <x:row r="17" ht="40" customHeight="1">
      <x:c r="A17" s="22" t="str">
        <x:v>R12</x:v>
      </x:c>
      <x:c r="B17" s="22" t="str">
        <x:v>含水硫酸镁MgSO₄·H₂O当量</x:v>
      </x:c>
      <x:c r="C17" s="22" t="str">
        <x:v>kg有效组分当量</x:v>
      </x:c>
      <x:c r="D17" s="34" t="n">
        <x:f>0</x:f>
        <x:v>0</x:v>
      </x:c>
      <x:c r="E17" s="34" t="n">
        <x:f>0</x:f>
        <x:v>0</x:v>
      </x:c>
      <x:c r="F17" s="34" t="n">
        <x:f>0</x:f>
        <x:v>0</x:v>
      </x:c>
      <x:c r="G17" s="34" t="n">
        <x:f>0</x:f>
        <x:v>0</x:v>
      </x:c>
      <x:c r="H17" s="34" t="n">
        <x:f>0</x:f>
        <x:v>0</x:v>
      </x:c>
      <x:c r="I17" s="34" t="n">
        <x:f>0</x:f>
        <x:v>0</x:v>
      </x:c>
      <x:c r="J17" s="34" t="n">
        <x:f>0</x:f>
        <x:v>0</x:v>
      </x:c>
      <x:c r="K17" s="34" t="n">
        <x:f>0</x:f>
        <x:v>0</x:v>
      </x:c>
      <x:c r="L17" s="34" t="n">
        <x:f>0</x:f>
        <x:v>0</x:v>
      </x:c>
      <x:c r="M17" s="34" t="n">
        <x:f>0</x:f>
        <x:v>0</x:v>
      </x:c>
    </x:row>
    <x:row r="18" ht="40" customHeight="1">
      <x:c r="A18" s="22" t="str">
        <x:v>R13</x:v>
      </x:c>
      <x:c r="B18" s="22" t="str">
        <x:v>氯化钠NaCl</x:v>
      </x:c>
      <x:c r="C18" s="22" t="str">
        <x:v>kg有效组分当量</x:v>
      </x:c>
      <x:c r="D18" s="34" t="n">
        <x:f>0</x:f>
        <x:v>0</x:v>
      </x:c>
      <x:c r="E18" s="34" t="n">
        <x:f>0</x:f>
        <x:v>0</x:v>
      </x:c>
      <x:c r="F18" s="34" t="n">
        <x:f>0</x:f>
        <x:v>0</x:v>
      </x:c>
      <x:c r="G18" s="34" t="n">
        <x:f>0</x:f>
        <x:v>0</x:v>
      </x:c>
      <x:c r="H18" s="34" t="n">
        <x:f>0</x:f>
        <x:v>0</x:v>
      </x:c>
      <x:c r="I18" s="34" t="n">
        <x:f>0</x:f>
        <x:v>0</x:v>
      </x:c>
      <x:c r="J18" s="34" t="n">
        <x:f>0</x:f>
        <x:v>0</x:v>
      </x:c>
      <x:c r="K18" s="34" t="n">
        <x:f>0</x:f>
        <x:v>0</x:v>
      </x:c>
      <x:c r="L18" s="34" t="n">
        <x:f>0</x:f>
        <x:v>0</x:v>
      </x:c>
      <x:c r="M18" s="34" t="n">
        <x:f>0</x:f>
        <x:v>0</x:v>
      </x:c>
    </x:row>
    <x:row r="19" ht="40" customHeight="1">
      <x:c r="A19" s="22" t="str">
        <x:v>R14</x:v>
      </x:c>
      <x:c r="B19" s="22" t="str">
        <x:v>铜矿CuO当量</x:v>
      </x:c>
      <x:c r="C19" s="22" t="str">
        <x:v>kg有效组分当量</x:v>
      </x:c>
      <x:c r="D19" s="34" t="n">
        <x:f>0</x:f>
        <x:v>0</x:v>
      </x:c>
      <x:c r="E19" s="34" t="n">
        <x:f>0</x:f>
        <x:v>0</x:v>
      </x:c>
      <x:c r="F19" s="34" t="n">
        <x:f>0</x:f>
        <x:v>0</x:v>
      </x:c>
      <x:c r="G19" s="34" t="n">
        <x:f>0</x:f>
        <x:v>0</x:v>
      </x:c>
      <x:c r="H19" s="34" t="n">
        <x:f>0</x:f>
        <x:v>0</x:v>
      </x:c>
      <x:c r="I19" s="34" t="n">
        <x:f>0</x:f>
        <x:v>0</x:v>
      </x:c>
      <x:c r="J19" s="34" t="n">
        <x:f>0</x:f>
        <x:v>0</x:v>
      </x:c>
      <x:c r="K19" s="34" t="n">
        <x:f>0</x:f>
        <x:v>0</x:v>
      </x:c>
      <x:c r="L19" s="34" t="n">
        <x:f>0</x:f>
        <x:v>0</x:v>
      </x:c>
      <x:c r="M19" s="34" t="n">
        <x:f>0</x:f>
        <x:v>0</x:v>
      </x:c>
    </x:row>
    <x:row r="20" ht="40" customHeight="1">
      <x:c r="A20" s="22" t="str">
        <x:v>R15</x:v>
      </x:c>
      <x:c r="B20" s="22" t="str">
        <x:v>镍矿NiO当量</x:v>
      </x:c>
      <x:c r="C20" s="22" t="str">
        <x:v>kg有效组分当量</x:v>
      </x:c>
      <x:c r="D20" s="34" t="n">
        <x:f>0</x:f>
        <x:v>0</x:v>
      </x:c>
      <x:c r="E20" s="34" t="n">
        <x:f>0</x:f>
        <x:v>0</x:v>
      </x:c>
      <x:c r="F20" s="34" t="n">
        <x:f>0</x:f>
        <x:v>0</x:v>
      </x:c>
      <x:c r="G20" s="34" t="n">
        <x:f>0</x:f>
        <x:v>0</x:v>
      </x:c>
      <x:c r="H20" s="34" t="n">
        <x:f>0</x:f>
        <x:v>0</x:v>
      </x:c>
      <x:c r="I20" s="34" t="n">
        <x:f>0</x:f>
        <x:v>0</x:v>
      </x:c>
      <x:c r="J20" s="34" t="n">
        <x:f>0</x:f>
        <x:v>0</x:v>
      </x:c>
      <x:c r="K20" s="34" t="n">
        <x:f>0</x:f>
        <x:v>0</x:v>
      </x:c>
      <x:c r="L20" s="34" t="n">
        <x:f>0</x:f>
        <x:v>0</x:v>
      </x:c>
      <x:c r="M20" s="34" t="n">
        <x:f>0</x:f>
        <x:v>0</x:v>
      </x:c>
    </x:row>
    <x:row r="21" ht="40" customHeight="1">
      <x:c r="A21" s="22" t="str">
        <x:v>R16</x:v>
      </x:c>
      <x:c r="B21" s="22" t="str">
        <x:v>富铝矿Al₂O₃当量</x:v>
      </x:c>
      <x:c r="C21" s="22" t="str">
        <x:v>kg有效组分当量</x:v>
      </x:c>
      <x:c r="D21" s="34" t="n">
        <x:f>0</x:f>
        <x:v>0</x:v>
      </x:c>
      <x:c r="E21" s="34" t="n">
        <x:f>0</x:f>
        <x:v>0</x:v>
      </x:c>
      <x:c r="F21" s="34" t="n">
        <x:f>0</x:f>
        <x:v>0</x:v>
      </x:c>
      <x:c r="G21" s="34" t="n">
        <x:f>0</x:f>
        <x:v>0</x:v>
      </x:c>
      <x:c r="H21" s="34" t="n">
        <x:f>0</x:f>
        <x:v>0</x:v>
      </x:c>
      <x:c r="I21" s="34" t="n">
        <x:f>0</x:f>
        <x:v>0</x:v>
      </x:c>
      <x:c r="J21" s="34" t="n">
        <x:f>0</x:f>
        <x:v>0</x:v>
      </x:c>
      <x:c r="K21" s="34" t="n">
        <x:f>0</x:f>
        <x:v>0</x:v>
      </x:c>
      <x:c r="L21" s="34" t="n">
        <x:f>0</x:f>
        <x:v>0</x:v>
      </x:c>
      <x:c r="M21" s="34" t="n">
        <x:f>0</x:f>
        <x:v>0</x:v>
      </x:c>
    </x:row>
    <x:row r="22" ht="40" customHeight="1">
      <x:c r="A22" s="22" t="str">
        <x:v>R17</x:v>
      </x:c>
      <x:c r="B22" s="22" t="str">
        <x:v>可选银矿Ag₂S当量</x:v>
      </x:c>
      <x:c r="C22" s="22" t="str">
        <x:v>kg有效组分当量</x:v>
      </x:c>
      <x:c r="D22" s="34" t="n">
        <x:f>0</x:f>
        <x:v>0</x:v>
      </x:c>
      <x:c r="E22" s="34" t="n">
        <x:f>0</x:f>
        <x:v>0</x:v>
      </x:c>
      <x:c r="F22" s="34" t="n">
        <x:f>0</x:f>
        <x:v>0</x:v>
      </x:c>
      <x:c r="G22" s="34" t="n">
        <x:f>0</x:f>
        <x:v>0</x:v>
      </x:c>
      <x:c r="H22" s="34" t="n">
        <x:f>0</x:f>
        <x:v>0</x:v>
      </x:c>
      <x:c r="I22" s="34" t="n">
        <x:f>0</x:f>
        <x:v>0</x:v>
      </x:c>
      <x:c r="J22" s="34" t="n">
        <x:f>0</x:f>
        <x:v>0</x:v>
      </x:c>
      <x:c r="K22" s="34" t="n">
        <x:f>0</x:f>
        <x:v>0</x:v>
      </x:c>
      <x:c r="L22" s="34" t="n">
        <x:f>0</x:f>
        <x:v>0</x:v>
      </x:c>
      <x:c r="M22" s="34" t="n">
        <x:f>0</x:f>
        <x:v>0</x:v>
      </x:c>
    </x:row>
    <x:row r="23" ht="40" customHeight="1">
      <x:c r="A23" s="22" t="str">
        <x:v>R18</x:v>
      </x:c>
      <x:c r="B23" s="22" t="str">
        <x:v>硼矿B₂O₃当量</x:v>
      </x:c>
      <x:c r="C23" s="22" t="str">
        <x:v>kg有效组分当量</x:v>
      </x:c>
      <x:c r="D23" s="34" t="n">
        <x:f>0</x:f>
        <x:v>0</x:v>
      </x:c>
      <x:c r="E23" s="34" t="n">
        <x:f>0</x:f>
        <x:v>0</x:v>
      </x:c>
      <x:c r="F23" s="34" t="n">
        <x:f>0</x:f>
        <x:v>0</x:v>
      </x:c>
      <x:c r="G23" s="34" t="n">
        <x:f>0</x:f>
        <x:v>0</x:v>
      </x:c>
      <x:c r="H23" s="34" t="n">
        <x:f>0</x:f>
        <x:v>0</x:v>
      </x:c>
      <x:c r="I23" s="34" t="n">
        <x:f>0</x:f>
        <x:v>0</x:v>
      </x:c>
      <x:c r="J23" s="34" t="n">
        <x:f>0</x:f>
        <x:v>0</x:v>
      </x:c>
      <x:c r="K23" s="34" t="n">
        <x:f>0</x:f>
        <x:v>0</x:v>
      </x:c>
      <x:c r="L23" s="34" t="n">
        <x:f>0</x:f>
        <x:v>0</x:v>
      </x:c>
      <x:c r="M23" s="34" t="n">
        <x:f>0</x:f>
        <x:v>0</x:v>
      </x:c>
    </x:row>
    <x:row r="24" ht="40" customHeight="1">
      <x:c r="A24" s="22" t="str">
        <x:v>R19</x:v>
      </x:c>
      <x:c r="B24" s="22" t="str">
        <x:v>可选萤石CaF₂</x:v>
      </x:c>
      <x:c r="C24" s="22" t="str">
        <x:v>kg有效组分当量</x:v>
      </x:c>
      <x:c r="D24" s="34" t="n">
        <x:f>0</x:f>
        <x:v>0</x:v>
      </x:c>
      <x:c r="E24" s="34" t="n">
        <x:f>0</x:f>
        <x:v>0</x:v>
      </x:c>
      <x:c r="F24" s="34" t="n">
        <x:f>0</x:f>
        <x:v>0</x:v>
      </x:c>
      <x:c r="G24" s="34" t="n">
        <x:f>0</x:f>
        <x:v>0</x:v>
      </x:c>
      <x:c r="H24" s="34" t="n">
        <x:f>0</x:f>
        <x:v>0</x:v>
      </x:c>
      <x:c r="I24" s="34" t="n">
        <x:f>0</x:f>
        <x:v>0</x:v>
      </x:c>
      <x:c r="J24" s="34" t="n">
        <x:f>0</x:f>
        <x:v>0</x:v>
      </x:c>
      <x:c r="K24" s="34" t="n">
        <x:f>0</x:f>
        <x:v>0</x:v>
      </x:c>
      <x:c r="L24" s="34" t="n">
        <x:f>0</x:f>
        <x:v>0</x:v>
      </x:c>
      <x:c r="M24" s="34" t="n">
        <x:f>0</x:f>
        <x:v>0</x:v>
      </x:c>
    </x:row>
    <x:row r="25" ht="40" customHeight="1">
      <x:c r="A25" s="22" t="str">
        <x:v>R20</x:v>
      </x:c>
      <x:c r="B25" s="22" t="str">
        <x:v>可选锡矿SnO₂</x:v>
      </x:c>
      <x:c r="C25" s="22" t="str">
        <x:v>kg有效组分当量</x:v>
      </x:c>
      <x:c r="D25" s="34" t="n">
        <x:f>0</x:f>
        <x:v>0</x:v>
      </x:c>
      <x:c r="E25" s="34" t="n">
        <x:f>0</x:f>
        <x:v>0</x:v>
      </x:c>
      <x:c r="F25" s="34" t="n">
        <x:f>0</x:f>
        <x:v>0</x:v>
      </x:c>
      <x:c r="G25" s="34" t="n">
        <x:f>0</x:f>
        <x:v>0</x:v>
      </x:c>
      <x:c r="H25" s="34" t="n">
        <x:f>0</x:f>
        <x:v>0</x:v>
      </x:c>
      <x:c r="I25" s="34" t="n">
        <x:f>0</x:f>
        <x:v>0</x:v>
      </x:c>
      <x:c r="J25" s="34" t="n">
        <x:f>0</x:f>
        <x:v>0</x:v>
      </x:c>
      <x:c r="K25" s="34" t="n">
        <x:f>0</x:f>
        <x:v>0</x:v>
      </x:c>
      <x:c r="L25" s="34" t="n">
        <x:f>0</x:f>
        <x:v>0</x:v>
      </x:c>
      <x:c r="M25" s="34" t="n">
        <x:f>0</x:f>
        <x:v>0</x:v>
      </x:c>
    </x:row>
    <x:row r="26" ht="40" customHeight="1">
      <x:c r="A26" s="22" t="str">
        <x:v>R21</x:v>
      </x:c>
      <x:c r="B26" s="22" t="str">
        <x:v>石膏CaSO₄·2H₂O</x:v>
      </x:c>
      <x:c r="C26" s="22" t="str">
        <x:v>kg有效组分当量</x:v>
      </x:c>
      <x:c r="D26" s="34" t="n">
        <x:f>0</x:f>
        <x:v>0</x:v>
      </x:c>
      <x:c r="E26" s="34" t="n">
        <x:f>0</x:f>
        <x:v>0</x:v>
      </x:c>
      <x:c r="F26" s="34" t="n">
        <x:f>0</x:f>
        <x:v>0</x:v>
      </x:c>
      <x:c r="G26" s="34" t="n">
        <x:f>0</x:f>
        <x:v>0</x:v>
      </x:c>
      <x:c r="H26" s="34" t="n">
        <x:f>0</x:f>
        <x:v>0</x:v>
      </x:c>
      <x:c r="I26" s="34" t="n">
        <x:f>0</x:f>
        <x:v>0</x:v>
      </x:c>
      <x:c r="J26" s="34" t="n">
        <x:f>0</x:f>
        <x:v>0</x:v>
      </x:c>
      <x:c r="K26" s="34" t="n">
        <x:f>0</x:f>
        <x:v>0</x:v>
      </x:c>
      <x:c r="L26" s="34" t="n">
        <x:f>0</x:f>
        <x:v>0</x:v>
      </x:c>
      <x:c r="M26" s="34" t="n">
        <x:f>0</x:f>
        <x:v>0</x:v>
      </x:c>
    </x:row>
    <x:row r="27" ht="40" customHeight="1">
      <x:c r="A27" s="22" t="str">
        <x:v>X01</x:v>
      </x:c>
      <x:c r="B27" s="22" t="str">
        <x:v>电子/控制器成套件</x:v>
      </x:c>
      <x:c r="C27" s="22" t="str">
        <x:v>kg</x:v>
      </x:c>
      <x:c r="D27" s="34" t="n">
        <x:f>0</x:f>
        <x:v>0</x:v>
      </x:c>
      <x:c r="E27" s="34" t="n">
        <x:f>0</x:f>
        <x:v>0</x:v>
      </x:c>
      <x:c r="F27" s="34" t="n">
        <x:f>0</x:f>
        <x:v>0</x:v>
      </x:c>
      <x:c r="G27" s="34" t="n">
        <x:f>0</x:f>
        <x:v>0</x:v>
      </x:c>
      <x:c r="H27" s="34" t="n">
        <x:f>0</x:f>
        <x:v>0</x:v>
      </x:c>
      <x:c r="I27" s="34" t="n">
        <x:f>0</x:f>
        <x:v>0</x:v>
      </x:c>
      <x:c r="J27" s="34" t="n">
        <x:f>0</x:f>
        <x:v>0</x:v>
      </x:c>
      <x:c r="K27" s="34" t="n">
        <x:f>0</x:f>
        <x:v>0</x:v>
      </x:c>
      <x:c r="L27" s="34" t="n">
        <x:f>0</x:f>
        <x:v>0</x:v>
      </x:c>
      <x:c r="M27" s="34" t="n">
        <x:f>0</x:f>
        <x:v>0</x:v>
      </x:c>
    </x:row>
    <x:row r="28" ht="40" customHeight="1">
      <x:c r="A28" s="22" t="str">
        <x:v>X02</x:v>
      </x:c>
      <x:c r="B28" s="22" t="str">
        <x:v>精密加工/轴承/刀具成套件</x:v>
      </x:c>
      <x:c r="C28" s="22" t="str">
        <x:v>kg</x:v>
      </x:c>
      <x:c r="D28" s="34" t="n">
        <x:f>0</x:f>
        <x:v>0</x:v>
      </x:c>
      <x:c r="E28" s="34" t="n">
        <x:f>0</x:f>
        <x:v>0</x:v>
      </x:c>
      <x:c r="F28" s="34" t="n">
        <x:f>0</x:f>
        <x:v>0</x:v>
      </x:c>
      <x:c r="G28" s="34" t="n">
        <x:f>0</x:f>
        <x:v>0</x:v>
      </x:c>
      <x:c r="H28" s="34" t="n">
        <x:f>0</x:f>
        <x:v>0</x:v>
      </x:c>
      <x:c r="I28" s="34" t="n">
        <x:f>0</x:f>
        <x:v>0</x:v>
      </x:c>
      <x:c r="J28" s="34" t="n">
        <x:f>0</x:f>
        <x:v>0</x:v>
      </x:c>
      <x:c r="K28" s="34" t="n">
        <x:f>0</x:f>
        <x:v>0</x:v>
      </x:c>
      <x:c r="L28" s="34" t="n">
        <x:f>0</x:f>
        <x:v>0</x:v>
      </x:c>
      <x:c r="M28" s="34" t="n">
        <x:f>0</x:f>
        <x:v>0</x:v>
      </x:c>
    </x:row>
    <x:row r="29" ht="40" customHeight="1">
      <x:c r="A29" s="22" t="str">
        <x:v>X03</x:v>
      </x:c>
      <x:c r="B29" s="22" t="str">
        <x:v>特种膜/隔膜/催化辅材包</x:v>
      </x:c>
      <x:c r="C29" s="22" t="str">
        <x:v>kg</x:v>
      </x:c>
      <x:c r="D29" s="34" t="n">
        <x:f>0</x:f>
        <x:v>0</x:v>
      </x:c>
      <x:c r="E29" s="34" t="n">
        <x:f>0</x:f>
        <x:v>0</x:v>
      </x:c>
      <x:c r="F29" s="34" t="n">
        <x:f>0</x:f>
        <x:v>0</x:v>
      </x:c>
      <x:c r="G29" s="34" t="n">
        <x:f>0</x:f>
        <x:v>0</x:v>
      </x:c>
      <x:c r="H29" s="34" t="n">
        <x:f>0</x:f>
        <x:v>0</x:v>
      </x:c>
      <x:c r="I29" s="34" t="n">
        <x:f>0</x:f>
        <x:v>0</x:v>
      </x:c>
      <x:c r="J29" s="34" t="n">
        <x:f>0</x:f>
        <x:v>0</x:v>
      </x:c>
      <x:c r="K29" s="34" t="n">
        <x:f>0</x:f>
        <x:v>0</x:v>
      </x:c>
      <x:c r="L29" s="34" t="n">
        <x:f>0</x:f>
        <x:v>0</x:v>
      </x:c>
      <x:c r="M29" s="34" t="n">
        <x:f>0</x:f>
        <x:v>0</x:v>
      </x:c>
    </x:row>
    <x:row r="30" ht="40" customHeight="1">
      <x:c r="A30" s="22" t="str">
        <x:v>X04</x:v>
      </x:c>
      <x:c r="B30" s="22" t="str">
        <x:v>光伏纯化/电池制程辅材包</x:v>
      </x:c>
      <x:c r="C30" s="22" t="str">
        <x:v>kg</x:v>
      </x:c>
      <x:c r="D30" s="34" t="n">
        <x:f>0</x:f>
        <x:v>0</x:v>
      </x:c>
      <x:c r="E30" s="34" t="n">
        <x:f>0</x:f>
        <x:v>0</x:v>
      </x:c>
      <x:c r="F30" s="34" t="n">
        <x:f>0</x:f>
        <x:v>0</x:v>
      </x:c>
      <x:c r="G30" s="34" t="n">
        <x:f>0</x:f>
        <x:v>0</x:v>
      </x:c>
      <x:c r="H30" s="34" t="n">
        <x:f>0</x:f>
        <x:v>0</x:v>
      </x:c>
      <x:c r="I30" s="34" t="n">
        <x:f>0</x:f>
        <x:v>0</x:v>
      </x:c>
      <x:c r="J30" s="34" t="n">
        <x:f>0</x:f>
        <x:v>0</x:v>
      </x:c>
      <x:c r="K30" s="34" t="n">
        <x:f>0</x:f>
        <x:v>0</x:v>
      </x:c>
      <x:c r="L30" s="34" t="n">
        <x:f>0</x:f>
        <x:v>0</x:v>
      </x:c>
      <x:c r="M30" s="34" t="n">
        <x:f>0</x:f>
        <x:v>0</x:v>
      </x:c>
    </x:row>
    <x:row r="31" ht="40" customHeight="1">
      <x:c r="A31" s="22" t="str">
        <x:v>X05</x:v>
      </x:c>
      <x:c r="B31" s="22" t="str">
        <x:v>农业微量元素/螯合配方包</x:v>
      </x:c>
      <x:c r="C31" s="22" t="str">
        <x:v>kg</x:v>
      </x:c>
      <x:c r="D31" s="34" t="n">
        <x:f>0</x:f>
        <x:v>0</x:v>
      </x:c>
      <x:c r="E31" s="34" t="n">
        <x:f>0</x:f>
        <x:v>0</x:v>
      </x:c>
      <x:c r="F31" s="34" t="n">
        <x:f>0</x:f>
        <x:v>0</x:v>
      </x:c>
      <x:c r="G31" s="34" t="n">
        <x:f>0</x:f>
        <x:v>0</x:v>
      </x:c>
      <x:c r="H31" s="34" t="n">
        <x:f>0</x:f>
        <x:v>0</x:v>
      </x:c>
      <x:c r="I31" s="34" t="n">
        <x:f>0</x:f>
        <x:v>0</x:v>
      </x:c>
      <x:c r="J31" s="34" t="n">
        <x:f>0</x:f>
        <x:v>0</x:v>
      </x:c>
      <x:c r="K31" s="34" t="n">
        <x:f>0</x:f>
        <x:v>0</x:v>
      </x:c>
      <x:c r="L31" s="34" t="n">
        <x:f>0</x:f>
        <x:v>0</x:v>
      </x:c>
      <x:c r="M31" s="34" t="n">
        <x:f>0</x:f>
        <x:v>0</x:v>
      </x:c>
    </x:row>
    <x:row r="32" ht="40" customHeight="1">
      <x:c r="A32" s="22" t="str">
        <x:v>M_W</x:v>
      </x:c>
      <x:c r="B32" s="22" t="str">
        <x:v>净水</x:v>
      </x:c>
      <x:c r="C32" s="22" t="str">
        <x:v>kg</x:v>
      </x:c>
      <x:c r="D32" s="34" t="n">
        <x:f>'直接配方'!$F$6*D6</x:f>
        <x:v>0</x:v>
      </x:c>
      <x:c r="E32" s="34" t="n">
        <x:f>'直接配方'!$F$6*E6</x:f>
        <x:v>0</x:v>
      </x:c>
      <x:c r="F32" s="34" t="n">
        <x:f>'直接配方'!$F$6*F6</x:f>
        <x:v>0</x:v>
      </x:c>
      <x:c r="G32" s="34" t="n">
        <x:f>'直接配方'!$F$6*G6</x:f>
        <x:v>0</x:v>
      </x:c>
      <x:c r="H32" s="34" t="n">
        <x:f>'直接配方'!$F$6*H6</x:f>
        <x:v>0</x:v>
      </x:c>
      <x:c r="I32" s="34" t="n">
        <x:f>'直接配方'!$F$6*I6</x:f>
        <x:v>0</x:v>
      </x:c>
      <x:c r="J32" s="34" t="n">
        <x:f>'直接配方'!$F$6*J6</x:f>
        <x:v>0</x:v>
      </x:c>
      <x:c r="K32" s="34" t="n">
        <x:f>'直接配方'!$F$6*K6</x:f>
        <x:v>0</x:v>
      </x:c>
      <x:c r="L32" s="34" t="n">
        <x:f>'直接配方'!$F$6*L6</x:f>
        <x:v>0</x:v>
      </x:c>
      <x:c r="M32" s="34" t="n">
        <x:f>'直接配方'!$F$6*M6</x:f>
        <x:v>0</x:v>
      </x:c>
    </x:row>
    <x:row r="33" ht="40" customHeight="1">
      <x:c r="A33" s="22" t="str">
        <x:v>M_H2</x:v>
      </x:c>
      <x:c r="B33" s="22" t="str">
        <x:v>氢气</x:v>
      </x:c>
      <x:c r="C33" s="22" t="str">
        <x:v>kg</x:v>
      </x:c>
      <x:c r="D33" s="34" t="n">
        <x:f>'直接配方'!$F$7*D32</x:f>
        <x:v>0</x:v>
      </x:c>
      <x:c r="E33" s="34" t="n">
        <x:f>'直接配方'!$F$7*E32</x:f>
        <x:v>0</x:v>
      </x:c>
      <x:c r="F33" s="34" t="n">
        <x:f>'直接配方'!$F$7*F32</x:f>
        <x:v>0</x:v>
      </x:c>
      <x:c r="G33" s="34" t="n">
        <x:f>'直接配方'!$F$7*G32</x:f>
        <x:v>0</x:v>
      </x:c>
      <x:c r="H33" s="34" t="n">
        <x:f>'直接配方'!$F$7*H32</x:f>
        <x:v>0</x:v>
      </x:c>
      <x:c r="I33" s="34" t="n">
        <x:f>'直接配方'!$F$7*I32</x:f>
        <x:v>0</x:v>
      </x:c>
      <x:c r="J33" s="34" t="n">
        <x:f>'直接配方'!$F$7*J32</x:f>
        <x:v>0</x:v>
      </x:c>
      <x:c r="K33" s="34" t="n">
        <x:f>'直接配方'!$F$7*K32+'直接副产出'!$D$6</x:f>
        <x:v>7.936011904761905</x:v>
      </x:c>
      <x:c r="L33" s="34" t="n">
        <x:f>'直接配方'!$F$7*L32</x:f>
        <x:v>0</x:v>
      </x:c>
      <x:c r="M33" s="34" t="n">
        <x:f>'直接配方'!$F$7*M32</x:f>
        <x:v>0</x:v>
      </x:c>
    </x:row>
    <x:row r="34" ht="40" customHeight="1">
      <x:c r="A34" s="22" t="str">
        <x:v>M_O2</x:v>
      </x:c>
      <x:c r="B34" s="22" t="str">
        <x:v>氧气</x:v>
      </x:c>
      <x:c r="C34" s="22" t="str">
        <x:v>kg</x:v>
      </x:c>
      <x:c r="D34" s="34" t="n">
        <x:f>'直接配方'!$F$8*D7+'直接副产出'!$D$7</x:f>
        <x:v>1.750734420901306</x:v>
      </x:c>
      <x:c r="E34" s="34" t="n">
        <x:f>'直接配方'!$F$8*E7</x:f>
        <x:v>0</x:v>
      </x:c>
      <x:c r="F34" s="34" t="n">
        <x:f>'直接配方'!$F$8*F7</x:f>
        <x:v>0</x:v>
      </x:c>
      <x:c r="G34" s="34" t="n">
        <x:f>'直接配方'!$F$8*G7</x:f>
        <x:v>0</x:v>
      </x:c>
      <x:c r="H34" s="34" t="n">
        <x:f>'直接配方'!$F$8*H7</x:f>
        <x:v>0</x:v>
      </x:c>
      <x:c r="I34" s="34" t="n">
        <x:f>'直接配方'!$F$8*I7</x:f>
        <x:v>0</x:v>
      </x:c>
      <x:c r="J34" s="34" t="n">
        <x:f>'直接配方'!$F$8*J7</x:f>
        <x:v>0</x:v>
      </x:c>
      <x:c r="K34" s="34" t="n">
        <x:f>'直接配方'!$F$8*K7</x:f>
        <x:v>0</x:v>
      </x:c>
      <x:c r="L34" s="34" t="n">
        <x:f>'直接配方'!$F$8*L7</x:f>
        <x:v>0</x:v>
      </x:c>
      <x:c r="M34" s="34" t="n">
        <x:f>'直接配方'!$F$8*M7</x:f>
        <x:v>0</x:v>
      </x:c>
    </x:row>
    <x:row r="35" ht="40" customHeight="1">
      <x:c r="A35" s="22" t="str">
        <x:v>M_C</x:v>
      </x:c>
      <x:c r="B35" s="22" t="str">
        <x:v>工艺碳</x:v>
      </x:c>
      <x:c r="C35" s="22" t="str">
        <x:v>kg</x:v>
      </x:c>
      <x:c r="D35" s="34" t="n">
        <x:f>'直接配方'!$F$9*D7+'直接配方'!$F$10*D33</x:f>
        <x:v>0</x:v>
      </x:c>
      <x:c r="E35" s="34" t="n">
        <x:f>'直接配方'!$F$9*E7+'直接配方'!$F$10*E33</x:f>
        <x:v>0</x:v>
      </x:c>
      <x:c r="F35" s="34" t="n">
        <x:f>'直接配方'!$F$9*F7+'直接配方'!$F$10*F33</x:f>
        <x:v>0</x:v>
      </x:c>
      <x:c r="G35" s="34" t="n">
        <x:f>'直接配方'!$F$9*G7+'直接配方'!$F$10*G33</x:f>
        <x:v>0</x:v>
      </x:c>
      <x:c r="H35" s="34" t="n">
        <x:f>'直接配方'!$F$9*H7+'直接配方'!$F$10*H33+'直接副产出'!$D$8</x:f>
        <x:v>2.99975022895679</x:v>
      </x:c>
      <x:c r="I35" s="34" t="n">
        <x:f>'直接配方'!$F$9*I7+'直接配方'!$F$10*I33</x:f>
        <x:v>0</x:v>
      </x:c>
      <x:c r="J35" s="34" t="n">
        <x:f>'直接配方'!$F$9*J7+'直接配方'!$F$10*J33</x:f>
        <x:v>0</x:v>
      </x:c>
      <x:c r="K35" s="34" t="n">
        <x:f>'直接配方'!$F$9*K7+'直接配方'!$F$10*K33</x:f>
        <x:v>2.664057946882025</x:v>
      </x:c>
      <x:c r="L35" s="34" t="n">
        <x:f>'直接配方'!$F$9*L7+'直接配方'!$F$10*L33</x:f>
        <x:v>0</x:v>
      </x:c>
      <x:c r="M35" s="34" t="n">
        <x:f>'直接配方'!$F$9*M7+'直接配方'!$F$10*M33</x:f>
        <x:v>0</x:v>
      </x:c>
    </x:row>
    <x:row r="36" ht="40" customHeight="1">
      <x:c r="A36" s="22" t="str">
        <x:v>M_FE</x:v>
      </x:c>
      <x:c r="B36" s="22" t="str">
        <x:v>还原铁</x:v>
      </x:c>
      <x:c r="C36" s="22" t="str">
        <x:v>kg</x:v>
      </x:c>
      <x:c r="D36" s="34" t="n">
        <x:f>'直接配方'!$F$11*D12+'直接配方'!$F$12*D33</x:f>
        <x:v>0</x:v>
      </x:c>
      <x:c r="E36" s="34" t="n">
        <x:f>'直接配方'!$F$11*E12+'直接配方'!$F$12*E33</x:f>
        <x:v>0</x:v>
      </x:c>
      <x:c r="F36" s="34" t="n">
        <x:f>'直接配方'!$F$11*F12+'直接配方'!$F$12*F33</x:f>
        <x:v>0</x:v>
      </x:c>
      <x:c r="G36" s="34" t="n">
        <x:f>'直接配方'!$F$11*G12+'直接配方'!$F$12*G33</x:f>
        <x:v>0</x:v>
      </x:c>
      <x:c r="H36" s="34" t="n">
        <x:f>'直接配方'!$F$11*H12+'直接配方'!$F$12*H33+'直接副产出'!$D$9</x:f>
        <x:v>0.48388396454472204</x:v>
      </x:c>
      <x:c r="I36" s="34" t="n">
        <x:f>'直接配方'!$F$11*I12+'直接配方'!$F$12*I33</x:f>
        <x:v>0</x:v>
      </x:c>
      <x:c r="J36" s="34" t="n">
        <x:f>'直接配方'!$F$11*J12+'直接配方'!$F$12*J33</x:f>
        <x:v>0</x:v>
      </x:c>
      <x:c r="K36" s="34" t="n">
        <x:f>'直接配方'!$F$11*K12+'直接配方'!$F$12*K33</x:f>
        <x:v>0.429734085414988</x:v>
      </x:c>
      <x:c r="L36" s="34" t="n">
        <x:f>'直接配方'!$F$11*L12+'直接配方'!$F$12*L33</x:f>
        <x:v>0</x:v>
      </x:c>
      <x:c r="M36" s="34" t="n">
        <x:f>'直接配方'!$F$11*M12+'直接配方'!$F$12*M33</x:f>
        <x:v>0</x:v>
      </x:c>
    </x:row>
    <x:row r="37" ht="40" customHeight="1">
      <x:c r="A37" s="22" t="str">
        <x:v>M_ST</x:v>
      </x:c>
      <x:c r="B37" s="22" t="str">
        <x:v>低碳钢材料</x:v>
      </x:c>
      <x:c r="C37" s="22" t="str">
        <x:v>kg</x:v>
      </x:c>
      <x:c r="D37" s="34" t="n">
        <x:f>'直接配方'!$F$13*D36+'直接配方'!$F$14*D35</x:f>
        <x:v>0</x:v>
      </x:c>
      <x:c r="E37" s="34" t="n">
        <x:f>'直接配方'!$F$13*E36+'直接配方'!$F$14*E35</x:f>
        <x:v>0</x:v>
      </x:c>
      <x:c r="F37" s="34" t="n">
        <x:f>'直接配方'!$F$13*F36+'直接配方'!$F$14*F35</x:f>
        <x:v>0</x:v>
      </x:c>
      <x:c r="G37" s="34" t="n">
        <x:f>'直接配方'!$F$13*G36+'直接配方'!$F$14*G35</x:f>
        <x:v>0</x:v>
      </x:c>
      <x:c r="H37" s="34" t="n">
        <x:f>'直接配方'!$F$13*H36+'直接配方'!$F$14*H35</x:f>
        <x:v>0.4889156970735462</x:v>
      </x:c>
      <x:c r="I37" s="34" t="n">
        <x:f>'直接配方'!$F$13*I36+'直接配方'!$F$14*I35</x:f>
        <x:v>0</x:v>
      </x:c>
      <x:c r="J37" s="34" t="n">
        <x:f>'直接配方'!$F$13*J36+'直接配方'!$F$14*J35</x:f>
        <x:v>0</x:v>
      </x:c>
      <x:c r="K37" s="34" t="n">
        <x:f>'直接配方'!$F$13*K36+'直接配方'!$F$14*K35</x:f>
        <x:v>0.434202733137922</x:v>
      </x:c>
      <x:c r="L37" s="34" t="n">
        <x:f>'直接配方'!$F$13*L36+'直接配方'!$F$14*L35</x:f>
        <x:v>0</x:v>
      </x:c>
      <x:c r="M37" s="34" t="n">
        <x:f>'直接配方'!$F$13*M36+'直接配方'!$F$14*M35</x:f>
        <x:v>0</x:v>
      </x:c>
    </x:row>
    <x:row r="38" ht="40" customHeight="1">
      <x:c r="A38" s="22" t="str">
        <x:v>M_CU</x:v>
      </x:c>
      <x:c r="B38" s="22" t="str">
        <x:v>金属铜</x:v>
      </x:c>
      <x:c r="C38" s="22" t="str">
        <x:v>kg</x:v>
      </x:c>
      <x:c r="D38" s="34" t="n">
        <x:f>'直接配方'!$F$15*D19+'直接配方'!$F$16*D33</x:f>
        <x:v>0</x:v>
      </x:c>
      <x:c r="E38" s="34" t="n">
        <x:f>'直接配方'!$F$15*E19+'直接配方'!$F$16*E33</x:f>
        <x:v>0</x:v>
      </x:c>
      <x:c r="F38" s="34" t="n">
        <x:f>'直接配方'!$F$15*F19+'直接配方'!$F$16*F33</x:f>
        <x:v>0</x:v>
      </x:c>
      <x:c r="G38" s="34" t="n">
        <x:f>'直接配方'!$F$15*G19+'直接配方'!$F$16*G33</x:f>
        <x:v>0</x:v>
      </x:c>
      <x:c r="H38" s="34" t="n">
        <x:f>'直接配方'!$F$15*H19+'直接配方'!$F$16*H33+'直接副产出'!$D$10</x:f>
        <x:v>0.2834954206401662</x:v>
      </x:c>
      <x:c r="I38" s="34" t="n">
        <x:f>'直接配方'!$F$15*I19+'直接配方'!$F$16*I33</x:f>
        <x:v>0</x:v>
      </x:c>
      <x:c r="J38" s="34" t="n">
        <x:f>'直接配方'!$F$15*J19+'直接配方'!$F$16*J33</x:f>
        <x:v>0</x:v>
      </x:c>
      <x:c r="K38" s="34" t="n">
        <x:f>'直接配方'!$F$15*K19+'直接配方'!$F$16*K33</x:f>
        <x:v>0.25177037106977623</x:v>
      </x:c>
      <x:c r="L38" s="34" t="n">
        <x:f>'直接配方'!$F$15*L19+'直接配方'!$F$16*L33</x:f>
        <x:v>0</x:v>
      </x:c>
      <x:c r="M38" s="34" t="n">
        <x:f>'直接配方'!$F$15*M19+'直接配方'!$F$16*M33</x:f>
        <x:v>0</x:v>
      </x:c>
    </x:row>
    <x:row r="39" ht="40" customHeight="1">
      <x:c r="A39" s="22" t="str">
        <x:v>M_NI</x:v>
      </x:c>
      <x:c r="B39" s="22" t="str">
        <x:v>金属镍</x:v>
      </x:c>
      <x:c r="C39" s="22" t="str">
        <x:v>kg</x:v>
      </x:c>
      <x:c r="D39" s="34" t="n">
        <x:f>'直接配方'!$F$17*D20+'直接配方'!$F$18*D33</x:f>
        <x:v>0</x:v>
      </x:c>
      <x:c r="E39" s="34" t="n">
        <x:f>'直接配方'!$F$17*E20+'直接配方'!$F$18*E33</x:f>
        <x:v>0</x:v>
      </x:c>
      <x:c r="F39" s="34" t="n">
        <x:f>'直接配方'!$F$17*F20+'直接配方'!$F$18*F33</x:f>
        <x:v>0</x:v>
      </x:c>
      <x:c r="G39" s="34" t="n">
        <x:f>'直接配方'!$F$17*G20+'直接配方'!$F$18*G33</x:f>
        <x:v>0</x:v>
      </x:c>
      <x:c r="H39" s="34" t="n">
        <x:f>'直接配方'!$F$17*H20+'直接配方'!$F$18*H33+'直接副产出'!$D$11</x:f>
        <x:v>0.3069360911863425</x:v>
      </x:c>
      <x:c r="I39" s="34" t="n">
        <x:f>'直接配方'!$F$17*I20+'直接配方'!$F$18*I33</x:f>
        <x:v>0</x:v>
      </x:c>
      <x:c r="J39" s="34" t="n">
        <x:f>'直接配方'!$F$17*J20+'直接配方'!$F$18*J33</x:f>
        <x:v>0</x:v>
      </x:c>
      <x:c r="K39" s="34" t="n">
        <x:f>'直接配方'!$F$17*K20+'直接配方'!$F$18*K33</x:f>
        <x:v>0.27258787248905325</x:v>
      </x:c>
      <x:c r="L39" s="34" t="n">
        <x:f>'直接配方'!$F$17*L20+'直接配方'!$F$18*L33</x:f>
        <x:v>0</x:v>
      </x:c>
      <x:c r="M39" s="34" t="n">
        <x:f>'直接配方'!$F$17*M20+'直接配方'!$F$18*M33</x:f>
        <x:v>0</x:v>
      </x:c>
    </x:row>
    <x:row r="40" ht="40" customHeight="1">
      <x:c r="A40" s="22" t="str">
        <x:v>M_AL</x:v>
      </x:c>
      <x:c r="B40" s="22" t="str">
        <x:v>金属铝</x:v>
      </x:c>
      <x:c r="C40" s="22" t="str">
        <x:v>kg</x:v>
      </x:c>
      <x:c r="D40" s="34" t="n">
        <x:f>'直接配方'!$F$19*D21+'直接配方'!$F$20*D35</x:f>
        <x:v>0</x:v>
      </x:c>
      <x:c r="E40" s="34" t="n">
        <x:f>'直接配方'!$F$19*E21+'直接配方'!$F$20*E35+'直接副产出'!$D$12</x:f>
        <x:v>1.2232877473871469</x:v>
      </x:c>
      <x:c r="F40" s="34" t="n">
        <x:f>'直接配方'!$F$19*F21+'直接配方'!$F$20*F35</x:f>
        <x:v>0</x:v>
      </x:c>
      <x:c r="G40" s="34" t="n">
        <x:f>'直接配方'!$F$19*G21+'直接配方'!$F$20*G35</x:f>
        <x:v>0</x:v>
      </x:c>
      <x:c r="H40" s="34" t="n">
        <x:f>'直接配方'!$F$19*H21+'直接配方'!$F$20*H35</x:f>
        <x:v>1.0015010006671117</x:v>
      </x:c>
      <x:c r="I40" s="34" t="n">
        <x:f>'直接配方'!$F$19*I21+'直接配方'!$F$20*I35</x:f>
        <x:v>0</x:v>
      </x:c>
      <x:c r="J40" s="34" t="n">
        <x:f>'直接配方'!$F$19*J21+'直接配方'!$F$20*J35</x:f>
        <x:v>0</x:v>
      </x:c>
      <x:c r="K40" s="34" t="n">
        <x:f>'直接配方'!$F$19*K21+'直接配方'!$F$20*K35</x:f>
        <x:v>0.8894262841894598</x:v>
      </x:c>
      <x:c r="L40" s="34" t="n">
        <x:f>'直接配方'!$F$19*L21+'直接配方'!$F$20*L35</x:f>
        <x:v>0</x:v>
      </x:c>
      <x:c r="M40" s="34" t="n">
        <x:f>'直接配方'!$F$19*M21+'直接配方'!$F$20*M35</x:f>
        <x:v>0</x:v>
      </x:c>
    </x:row>
    <x:row r="41" ht="40" customHeight="1">
      <x:c r="A41" s="22" t="str">
        <x:v>M_AG</x:v>
      </x:c>
      <x:c r="B41" s="22" t="str">
        <x:v>金属银</x:v>
      </x:c>
      <x:c r="C41" s="22" t="str">
        <x:v>kg</x:v>
      </x:c>
      <x:c r="D41" s="34" t="n">
        <x:f>'直接配方'!$F$21*D22+'直接配方'!$F$22*D34</x:f>
        <x:v>0.25966874389301015</x:v>
      </x:c>
      <x:c r="E41" s="34" t="n">
        <x:f>'直接配方'!$F$21*E22+'直接配方'!$F$22*E34</x:f>
        <x:v>0</x:v>
      </x:c>
      <x:c r="F41" s="34" t="n">
        <x:f>'直接配方'!$F$21*F22+'直接配方'!$F$22*F34</x:f>
        <x:v>0</x:v>
      </x:c>
      <x:c r="G41" s="34" t="n">
        <x:f>'直接配方'!$F$21*G22+'直接配方'!$F$22*G34</x:f>
        <x:v>0</x:v>
      </x:c>
      <x:c r="H41" s="34" t="n">
        <x:f>'直接配方'!$F$21*H22+'直接配方'!$F$22*H34</x:f>
        <x:v>0</x:v>
      </x:c>
      <x:c r="I41" s="34" t="n">
        <x:f>'直接配方'!$F$21*I22+'直接配方'!$F$22*I34</x:f>
        <x:v>0</x:v>
      </x:c>
      <x:c r="J41" s="34" t="n">
        <x:f>'直接配方'!$F$21*J22+'直接配方'!$F$22*J34</x:f>
        <x:v>0</x:v>
      </x:c>
      <x:c r="K41" s="34" t="n">
        <x:f>'直接配方'!$F$21*K22+'直接配方'!$F$22*K34</x:f>
        <x:v>0</x:v>
      </x:c>
      <x:c r="L41" s="34" t="n">
        <x:f>'直接配方'!$F$21*L22+'直接配方'!$F$22*L34+'直接副产出'!$D$13</x:f>
        <x:v>0.2969271759424928</x:v>
      </x:c>
      <x:c r="M41" s="34" t="n">
        <x:f>'直接配方'!$F$21*M22+'直接配方'!$F$22*M34</x:f>
        <x:v>0</x:v>
      </x:c>
    </x:row>
    <x:row r="42" ht="40" customHeight="1">
      <x:c r="A42" s="22" t="str">
        <x:v>M_SN</x:v>
      </x:c>
      <x:c r="B42" s="22" t="str">
        <x:v>金属锡</x:v>
      </x:c>
      <x:c r="C42" s="22" t="str">
        <x:v>kg</x:v>
      </x:c>
      <x:c r="D42" s="34" t="n">
        <x:f>'直接配方'!$F$23*D25+'直接配方'!$F$24*D33</x:f>
        <x:v>0</x:v>
      </x:c>
      <x:c r="E42" s="34" t="n">
        <x:f>'直接配方'!$F$23*E25+'直接配方'!$F$24*E33</x:f>
        <x:v>0</x:v>
      </x:c>
      <x:c r="F42" s="34" t="n">
        <x:f>'直接配方'!$F$23*F25+'直接配方'!$F$24*F33</x:f>
        <x:v>0</x:v>
      </x:c>
      <x:c r="G42" s="34" t="n">
        <x:f>'直接配方'!$F$23*G25+'直接配方'!$F$24*G33</x:f>
        <x:v>0</x:v>
      </x:c>
      <x:c r="H42" s="34" t="n">
        <x:f>'直接配方'!$F$23*H25+'直接配方'!$F$24*H33+'直接副产出'!$D$14</x:f>
        <x:v>0.30351276219358103</x:v>
      </x:c>
      <x:c r="I42" s="34" t="n">
        <x:f>'直接配方'!$F$23*I25+'直接配方'!$F$24*I33</x:f>
        <x:v>0</x:v>
      </x:c>
      <x:c r="J42" s="34" t="n">
        <x:f>'直接配方'!$F$23*J25+'直接配方'!$F$24*J33</x:f>
        <x:v>0</x:v>
      </x:c>
      <x:c r="K42" s="34" t="n">
        <x:f>'直接配方'!$F$23*K25+'直接配方'!$F$24*K33</x:f>
        <x:v>0.2695476370988123</x:v>
      </x:c>
      <x:c r="L42" s="34" t="n">
        <x:f>'直接配方'!$F$23*L25+'直接配方'!$F$24*L33</x:f>
        <x:v>0</x:v>
      </x:c>
      <x:c r="M42" s="34" t="n">
        <x:f>'直接配方'!$F$23*M25+'直接配方'!$F$24*M33</x:f>
        <x:v>0</x:v>
      </x:c>
    </x:row>
    <x:row r="43" ht="40" customHeight="1">
      <x:c r="A43" s="22" t="str">
        <x:v>M_SI</x:v>
      </x:c>
      <x:c r="B43" s="22" t="str">
        <x:v>工业硅</x:v>
      </x:c>
      <x:c r="C43" s="22" t="str">
        <x:v>kg</x:v>
      </x:c>
      <x:c r="D43" s="34" t="n">
        <x:f>'直接配方'!$F$25*D11+'直接配方'!$F$26*D35+'直接副产出'!$D$15</x:f>
        <x:v>1.9946590706782978</x:v>
      </x:c>
      <x:c r="E43" s="34" t="n">
        <x:f>'直接配方'!$F$25*E11+'直接配方'!$F$26*E35</x:f>
        <x:v>0</x:v>
      </x:c>
      <x:c r="F43" s="34" t="n">
        <x:f>'直接配方'!$F$25*F11+'直接配方'!$F$26*F35</x:f>
        <x:v>0</x:v>
      </x:c>
      <x:c r="G43" s="34" t="n">
        <x:f>'直接配方'!$F$25*G11+'直接配方'!$F$26*G35</x:f>
        <x:v>0</x:v>
      </x:c>
      <x:c r="H43" s="34" t="n">
        <x:f>'直接配方'!$F$25*H11+'直接配方'!$F$26*H35</x:f>
        <x:v>2.5657824461456293</x:v>
      </x:c>
      <x:c r="I43" s="34" t="n">
        <x:f>'直接配方'!$F$25*I11+'直接配方'!$F$26*I35</x:f>
        <x:v>0</x:v>
      </x:c>
      <x:c r="J43" s="34" t="n">
        <x:f>'直接配方'!$F$25*J11+'直接配方'!$F$26*J35</x:f>
        <x:v>0</x:v>
      </x:c>
      <x:c r="K43" s="34" t="n">
        <x:f>'直接配方'!$F$25*K11+'直接配方'!$F$26*K35</x:f>
        <x:v>2.2786540858109308</x:v>
      </x:c>
      <x:c r="L43" s="34" t="n">
        <x:f>'直接配方'!$F$25*L11+'直接配方'!$F$26*L35</x:f>
        <x:v>0</x:v>
      </x:c>
      <x:c r="M43" s="34" t="n">
        <x:f>'直接配方'!$F$25*M11+'直接配方'!$F$26*M35</x:f>
        <x:v>0</x:v>
      </x:c>
    </x:row>
    <x:row r="44" ht="40" customHeight="1">
      <x:c r="A44" s="22" t="str">
        <x:v>M_SIP</x:v>
      </x:c>
      <x:c r="B44" s="22" t="str">
        <x:v>太阳能级硅</x:v>
      </x:c>
      <x:c r="C44" s="22" t="str">
        <x:v>kg</x:v>
      </x:c>
      <x:c r="D44" s="34" t="n">
        <x:f>'直接配方'!$F$27*D43</x:f>
        <x:v>2.21628785630922</x:v>
      </x:c>
      <x:c r="E44" s="34" t="n">
        <x:f>'直接配方'!$F$27*E43</x:f>
        <x:v>0</x:v>
      </x:c>
      <x:c r="F44" s="34" t="n">
        <x:f>'直接配方'!$F$27*F43</x:f>
        <x:v>0</x:v>
      </x:c>
      <x:c r="G44" s="34" t="n">
        <x:f>'直接配方'!$F$27*G43</x:f>
        <x:v>0</x:v>
      </x:c>
      <x:c r="H44" s="34" t="n">
        <x:f>'直接配方'!$F$27*H43</x:f>
        <x:v>2.850869384606255</x:v>
      </x:c>
      <x:c r="I44" s="34" t="n">
        <x:f>'直接配方'!$F$27*I43</x:f>
        <x:v>0</x:v>
      </x:c>
      <x:c r="J44" s="34" t="n">
        <x:f>'直接配方'!$F$27*J43</x:f>
        <x:v>0</x:v>
      </x:c>
      <x:c r="K44" s="34" t="n">
        <x:f>'直接配方'!$F$27*K43</x:f>
        <x:v>2.5318378731232567</x:v>
      </x:c>
      <x:c r="L44" s="34" t="n">
        <x:f>'直接配方'!$F$27*L43</x:f>
        <x:v>0</x:v>
      </x:c>
      <x:c r="M44" s="34" t="n">
        <x:f>'直接配方'!$F$27*M43</x:f>
        <x:v>0</x:v>
      </x:c>
    </x:row>
    <x:row r="45" ht="40" customHeight="1">
      <x:c r="A45" s="22" t="str">
        <x:v>M_MEOH</x:v>
      </x:c>
      <x:c r="B45" s="22" t="str">
        <x:v>甲醇</x:v>
      </x:c>
      <x:c r="C45" s="22" t="str">
        <x:v>kg</x:v>
      </x:c>
      <x:c r="D45" s="34" t="n">
        <x:f>'直接配方'!$F$28*D7+'直接配方'!$F$29*D33</x:f>
        <x:v>0</x:v>
      </x:c>
      <x:c r="E45" s="34" t="n">
        <x:f>'直接配方'!$F$28*E7+'直接配方'!$F$29*E33</x:f>
        <x:v>0</x:v>
      </x:c>
      <x:c r="F45" s="34" t="n">
        <x:f>'直接配方'!$F$28*F7+'直接配方'!$F$29*F33</x:f>
        <x:v>0</x:v>
      </x:c>
      <x:c r="G45" s="34" t="n">
        <x:f>'直接配方'!$F$28*G7+'直接配方'!$F$29*G33</x:f>
        <x:v>0</x:v>
      </x:c>
      <x:c r="H45" s="34" t="n">
        <x:f>'直接配方'!$F$28*H7+'直接配方'!$F$29*H33+'直接副产出'!$D$16</x:f>
        <x:v>0.5622308220460646</x:v>
      </x:c>
      <x:c r="I45" s="34" t="n">
        <x:f>'直接配方'!$F$28*I7+'直接配方'!$F$29*I33</x:f>
        <x:v>0</x:v>
      </x:c>
      <x:c r="J45" s="34" t="n">
        <x:f>'直接配方'!$F$28*J7+'直接配方'!$F$29*J33</x:f>
        <x:v>0</x:v>
      </x:c>
      <x:c r="K45" s="34" t="n">
        <x:f>'直接配方'!$F$28*K7+'直接配方'!$F$29*K33</x:f>
        <x:v>1.4979402034829286</x:v>
      </x:c>
      <x:c r="L45" s="34" t="n">
        <x:f>'直接配方'!$F$28*L7+'直接配方'!$F$29*L33</x:f>
        <x:v>0</x:v>
      </x:c>
      <x:c r="M45" s="34" t="n">
        <x:f>'直接配方'!$F$28*M7+'直接配方'!$F$29*M33</x:f>
        <x:v>0</x:v>
      </x:c>
    </x:row>
    <x:row r="46" ht="40" customHeight="1">
      <x:c r="A46" s="22" t="str">
        <x:v>M_PE</x:v>
      </x:c>
      <x:c r="B46" s="22" t="str">
        <x:v>聚乙烯</x:v>
      </x:c>
      <x:c r="C46" s="22" t="str">
        <x:v>kg</x:v>
      </x:c>
      <x:c r="D46" s="34" t="n">
        <x:f>'直接配方'!$F$30*D45</x:f>
        <x:v>0</x:v>
      </x:c>
      <x:c r="E46" s="34" t="n">
        <x:f>'直接配方'!$F$30*E45</x:f>
        <x:v>0</x:v>
      </x:c>
      <x:c r="F46" s="34" t="n">
        <x:f>'直接配方'!$F$30*F45</x:f>
        <x:v>0</x:v>
      </x:c>
      <x:c r="G46" s="34" t="n">
        <x:f>'直接配方'!$F$30*G45</x:f>
        <x:v>0</x:v>
      </x:c>
      <x:c r="H46" s="34" t="n">
        <x:f>'直接配方'!$F$30*H45+'直接副产出'!$D$17</x:f>
        <x:v>2.5686176659299926</x:v>
      </x:c>
      <x:c r="I46" s="34" t="n">
        <x:f>'直接配方'!$F$30*I45</x:f>
        <x:v>0</x:v>
      </x:c>
      <x:c r="J46" s="34" t="n">
        <x:f>'直接配方'!$F$30*J45</x:f>
        <x:v>0</x:v>
      </x:c>
      <x:c r="K46" s="34" t="n">
        <x:f>'直接配方'!$F$30*K45</x:f>
        <x:v>3.4217580380694375</x:v>
      </x:c>
      <x:c r="L46" s="34" t="n">
        <x:f>'直接配方'!$F$30*L45</x:f>
        <x:v>0</x:v>
      </x:c>
      <x:c r="M46" s="34" t="n">
        <x:f>'直接配方'!$F$30*M45</x:f>
        <x:v>0</x:v>
      </x:c>
    </x:row>
    <x:row r="47" ht="40" customHeight="1">
      <x:c r="A47" s="22" t="str">
        <x:v>M_PDMS</x:v>
      </x:c>
      <x:c r="B47" s="22" t="str">
        <x:v>硅橡胶基体PDMS</x:v>
      </x:c>
      <x:c r="C47" s="22" t="str">
        <x:v>kg</x:v>
      </x:c>
      <x:c r="D47" s="34" t="n">
        <x:f>'直接配方'!$F$31*D43+'直接配方'!$F$32*D45</x:f>
        <x:v>0.7554548642015266</x:v>
      </x:c>
      <x:c r="E47" s="34" t="n">
        <x:f>'直接配方'!$F$31*E43+'直接配方'!$F$32*E45</x:f>
        <x:v>0</x:v>
      </x:c>
      <x:c r="F47" s="34" t="n">
        <x:f>'直接配方'!$F$31*F43+'直接配方'!$F$32*F45</x:f>
        <x:v>0</x:v>
      </x:c>
      <x:c r="G47" s="34" t="n">
        <x:f>'直接配方'!$F$31*G43+'直接配方'!$F$32*G45</x:f>
        <x:v>0</x:v>
      </x:c>
      <x:c r="H47" s="34" t="n">
        <x:f>'直接配方'!$F$31*H43+'直接配方'!$F$32*H45+'直接副产出'!$D$18</x:f>
        <x:v>1.7005825714054539</x:v>
      </x:c>
      <x:c r="I47" s="34" t="n">
        <x:f>'直接配方'!$F$31*I43+'直接配方'!$F$32*I45</x:f>
        <x:v>0</x:v>
      </x:c>
      <x:c r="J47" s="34" t="n">
        <x:f>'直接配方'!$F$31*J43+'直接配方'!$F$32*J45</x:f>
        <x:v>0</x:v>
      </x:c>
      <x:c r="K47" s="34" t="n">
        <x:f>'直接配方'!$F$31*K43+'直接配方'!$F$32*K45</x:f>
        <x:v>2.157537017558055</x:v>
      </x:c>
      <x:c r="L47" s="34" t="n">
        <x:f>'直接配方'!$F$31*L43+'直接配方'!$F$32*L45</x:f>
        <x:v>0</x:v>
      </x:c>
      <x:c r="M47" s="34" t="n">
        <x:f>'直接配方'!$F$31*M43+'直接配方'!$F$32*M45</x:f>
        <x:v>0</x:v>
      </x:c>
    </x:row>
    <x:row r="48" ht="40" customHeight="1">
      <x:c r="A48" s="22" t="str">
        <x:v>M_GL</x:v>
      </x:c>
      <x:c r="B48" s="22" t="str">
        <x:v>熔融石英玻璃</x:v>
      </x:c>
      <x:c r="C48" s="22" t="str">
        <x:v>kg</x:v>
      </x:c>
      <x:c r="D48" s="34" t="n">
        <x:f>'直接配方'!$F$33*D11</x:f>
        <x:v>0</x:v>
      </x:c>
      <x:c r="E48" s="34" t="n">
        <x:f>'直接配方'!$F$33*E11</x:f>
        <x:v>0</x:v>
      </x:c>
      <x:c r="F48" s="34" t="n">
        <x:f>'直接配方'!$F$33*F11</x:f>
        <x:v>0</x:v>
      </x:c>
      <x:c r="G48" s="34" t="n">
        <x:f>'直接配方'!$F$33*G11</x:f>
        <x:v>0</x:v>
      </x:c>
      <x:c r="H48" s="34" t="n">
        <x:f>'直接配方'!$F$33*H11</x:f>
        <x:v>0</x:v>
      </x:c>
      <x:c r="I48" s="34" t="n">
        <x:f>'直接配方'!$F$33*I11</x:f>
        <x:v>0</x:v>
      </x:c>
      <x:c r="J48" s="34" t="n">
        <x:f>'直接配方'!$F$33*J11</x:f>
        <x:v>0</x:v>
      </x:c>
      <x:c r="K48" s="34" t="n">
        <x:f>'直接配方'!$F$33*K11</x:f>
        <x:v>0</x:v>
      </x:c>
      <x:c r="L48" s="34" t="n">
        <x:f>'直接配方'!$F$33*L11</x:f>
        <x:v>0</x:v>
      </x:c>
      <x:c r="M48" s="34" t="n">
        <x:f>'直接配方'!$F$33*M11</x:f>
        <x:v>0</x:v>
      </x:c>
    </x:row>
    <x:row r="49" ht="40" customHeight="1">
      <x:c r="A49" s="22" t="str">
        <x:v>M_CER</x:v>
      </x:c>
      <x:c r="B49" s="22" t="str">
        <x:v>烧结陶瓷/耐火件</x:v>
      </x:c>
      <x:c r="C49" s="22" t="str">
        <x:v>kg</x:v>
      </x:c>
      <x:c r="D49" s="34" t="n">
        <x:f>'直接配方'!$F$34*D10</x:f>
        <x:v>0</x:v>
      </x:c>
      <x:c r="E49" s="34" t="n">
        <x:f>'直接配方'!$F$34*E10</x:f>
        <x:v>0</x:v>
      </x:c>
      <x:c r="F49" s="34" t="n">
        <x:f>'直接配方'!$F$34*F10</x:f>
        <x:v>0</x:v>
      </x:c>
      <x:c r="G49" s="34" t="n">
        <x:f>'直接配方'!$F$34*G10</x:f>
        <x:v>0</x:v>
      </x:c>
      <x:c r="H49" s="34" t="n">
        <x:f>'直接配方'!$F$34*H10</x:f>
        <x:v>0</x:v>
      </x:c>
      <x:c r="I49" s="34" t="n">
        <x:f>'直接配方'!$F$34*I10</x:f>
        <x:v>0</x:v>
      </x:c>
      <x:c r="J49" s="34" t="n">
        <x:f>'直接配方'!$F$34*J10</x:f>
        <x:v>0</x:v>
      </x:c>
      <x:c r="K49" s="34" t="n">
        <x:f>'直接配方'!$F$34*K10</x:f>
        <x:v>0</x:v>
      </x:c>
      <x:c r="L49" s="34" t="n">
        <x:f>'直接配方'!$F$34*L10</x:f>
        <x:v>0</x:v>
      </x:c>
      <x:c r="M49" s="34" t="n">
        <x:f>'直接配方'!$F$34*M10</x:f>
        <x:v>0</x:v>
      </x:c>
    </x:row>
    <x:row r="50" ht="40" customHeight="1">
      <x:c r="A50" s="22" t="str">
        <x:v>M_FIB</x:v>
      </x:c>
      <x:c r="B50" s="22" t="str">
        <x:v>玄武岩纤维/岩棉</x:v>
      </x:c>
      <x:c r="C50" s="22" t="str">
        <x:v>kg</x:v>
      </x:c>
      <x:c r="D50" s="34" t="n">
        <x:f>'直接配方'!$F$35*D10</x:f>
        <x:v>0</x:v>
      </x:c>
      <x:c r="E50" s="34" t="n">
        <x:f>'直接配方'!$F$35*E10</x:f>
        <x:v>0</x:v>
      </x:c>
      <x:c r="F50" s="34" t="n">
        <x:f>'直接配方'!$F$35*F10</x:f>
        <x:v>0</x:v>
      </x:c>
      <x:c r="G50" s="34" t="n">
        <x:f>'直接配方'!$F$35*G10</x:f>
        <x:v>0</x:v>
      </x:c>
      <x:c r="H50" s="34" t="n">
        <x:f>'直接配方'!$F$35*H10</x:f>
        <x:v>0</x:v>
      </x:c>
      <x:c r="I50" s="34" t="n">
        <x:f>'直接配方'!$F$35*I10</x:f>
        <x:v>0</x:v>
      </x:c>
      <x:c r="J50" s="34" t="n">
        <x:f>'直接配方'!$F$35*J10</x:f>
        <x:v>0</x:v>
      </x:c>
      <x:c r="K50" s="34" t="n">
        <x:f>'直接配方'!$F$35*K10</x:f>
        <x:v>0</x:v>
      </x:c>
      <x:c r="L50" s="34" t="n">
        <x:f>'直接配方'!$F$35*L10</x:f>
        <x:v>0</x:v>
      </x:c>
      <x:c r="M50" s="34" t="n">
        <x:f>'直接配方'!$F$35*M10</x:f>
        <x:v>0</x:v>
      </x:c>
    </x:row>
    <x:row r="51" ht="40" customHeight="1">
      <x:c r="A51" s="22" t="str">
        <x:v>M_SEAL</x:v>
      </x:c>
      <x:c r="B51" s="22" t="str">
        <x:v>填充硅橡胶</x:v>
      </x:c>
      <x:c r="C51" s="22" t="str">
        <x:v>kg</x:v>
      </x:c>
      <x:c r="D51" s="34" t="n">
        <x:f>'直接配方'!$F$36*D47+'直接配方'!$F$37*D11</x:f>
        <x:v>0.6043638913612214</x:v>
      </x:c>
      <x:c r="E51" s="34" t="n">
        <x:f>'直接配方'!$F$36*E47+'直接配方'!$F$37*E11</x:f>
        <x:v>0</x:v>
      </x:c>
      <x:c r="F51" s="34" t="n">
        <x:f>'直接配方'!$F$36*F47+'直接配方'!$F$37*F11</x:f>
        <x:v>0</x:v>
      </x:c>
      <x:c r="G51" s="34" t="n">
        <x:f>'直接配方'!$F$36*G47+'直接配方'!$F$37*G11</x:f>
        <x:v>0</x:v>
      </x:c>
      <x:c r="H51" s="34" t="n">
        <x:f>'直接配方'!$F$36*H47+'直接配方'!$F$37*H11</x:f>
        <x:v>1.3604660571243632</x:v>
      </x:c>
      <x:c r="I51" s="34" t="n">
        <x:f>'直接配方'!$F$36*I47+'直接配方'!$F$37*I11</x:f>
        <x:v>0</x:v>
      </x:c>
      <x:c r="J51" s="34" t="n">
        <x:f>'直接配方'!$F$36*J47+'直接配方'!$F$37*J11</x:f>
        <x:v>0</x:v>
      </x:c>
      <x:c r="K51" s="34" t="n">
        <x:f>'直接配方'!$F$36*K47+'直接配方'!$F$37*K11</x:f>
        <x:v>1.7260296140464442</x:v>
      </x:c>
      <x:c r="L51" s="34" t="n">
        <x:f>'直接配方'!$F$36*L47+'直接配方'!$F$37*L11</x:f>
        <x:v>0</x:v>
      </x:c>
      <x:c r="M51" s="34" t="n">
        <x:f>'直接配方'!$F$36*M47+'直接配方'!$F$37*M11</x:f>
        <x:v>0</x:v>
      </x:c>
    </x:row>
    <x:row r="52" ht="40" customHeight="1">
      <x:c r="A52" s="22" t="str">
        <x:v>M_LUB</x:v>
      </x:c>
      <x:c r="B52" s="22" t="str">
        <x:v>合成润滑基料</x:v>
      </x:c>
      <x:c r="C52" s="22" t="str">
        <x:v>kg</x:v>
      </x:c>
      <x:c r="D52" s="34" t="n">
        <x:f>'直接配方'!$F$38*D45</x:f>
        <x:v>0</x:v>
      </x:c>
      <x:c r="E52" s="34" t="n">
        <x:f>'直接配方'!$F$38*E45</x:f>
        <x:v>0</x:v>
      </x:c>
      <x:c r="F52" s="34" t="n">
        <x:f>'直接配方'!$F$38*F45</x:f>
        <x:v>0</x:v>
      </x:c>
      <x:c r="G52" s="34" t="n">
        <x:f>'直接配方'!$F$38*G45</x:f>
        <x:v>0</x:v>
      </x:c>
      <x:c r="H52" s="34" t="n">
        <x:f>'直接配方'!$F$38*H45+'直接副产出'!$D$19</x:f>
        <x:v>2.5686176659299926</x:v>
      </x:c>
      <x:c r="I52" s="34" t="n">
        <x:f>'直接配方'!$F$38*I45</x:f>
        <x:v>0</x:v>
      </x:c>
      <x:c r="J52" s="34" t="n">
        <x:f>'直接配方'!$F$38*J45</x:f>
        <x:v>0</x:v>
      </x:c>
      <x:c r="K52" s="34" t="n">
        <x:f>'直接配方'!$F$38*K45</x:f>
        <x:v>3.4217580380694375</x:v>
      </x:c>
      <x:c r="L52" s="34" t="n">
        <x:f>'直接配方'!$F$38*L45</x:f>
        <x:v>0</x:v>
      </x:c>
      <x:c r="M52" s="34" t="n">
        <x:f>'直接配方'!$F$38*M45</x:f>
        <x:v>0</x:v>
      </x:c>
    </x:row>
    <x:row r="53" ht="40" customHeight="1">
      <x:c r="A53" s="22" t="str">
        <x:v>M_NH3</x:v>
      </x:c>
      <x:c r="B53" s="22" t="str">
        <x:v>氨</x:v>
      </x:c>
      <x:c r="C53" s="22" t="str">
        <x:v>kg</x:v>
      </x:c>
      <x:c r="D53" s="34" t="n">
        <x:f>'直接配方'!$F$39*D8+'直接配方'!$F$40*D33</x:f>
        <x:v>0</x:v>
      </x:c>
      <x:c r="E53" s="34" t="n">
        <x:f>'直接配方'!$F$39*E8+'直接配方'!$F$40*E33</x:f>
        <x:v>0</x:v>
      </x:c>
      <x:c r="F53" s="34" t="n">
        <x:f>'直接配方'!$F$39*F8+'直接配方'!$F$40*F33</x:f>
        <x:v>0</x:v>
      </x:c>
      <x:c r="G53" s="34" t="n">
        <x:f>'直接配方'!$F$39*G8+'直接配方'!$F$40*G33</x:f>
        <x:v>0</x:v>
      </x:c>
      <x:c r="H53" s="34" t="n">
        <x:f>'直接配方'!$F$39*H8+'直接配方'!$F$40*H33</x:f>
        <x:v>0</x:v>
      </x:c>
      <x:c r="I53" s="34" t="n">
        <x:f>'直接配方'!$F$39*I8+'直接配方'!$F$40*I33</x:f>
        <x:v>0</x:v>
      </x:c>
      <x:c r="J53" s="34" t="n">
        <x:f>'直接配方'!$F$39*J8+'直接配方'!$F$40*J33</x:f>
        <x:v>0</x:v>
      </x:c>
      <x:c r="K53" s="34" t="n">
        <x:f>'直接配方'!$F$39*K8+'直接配方'!$F$40*K33</x:f>
        <x:v>1.4091069226704247</x:v>
      </x:c>
      <x:c r="L53" s="34" t="n">
        <x:f>'直接配方'!$F$39*L8+'直接配方'!$F$40*L33</x:f>
        <x:v>0</x:v>
      </x:c>
      <x:c r="M53" s="34" t="n">
        <x:f>'直接配方'!$F$39*M8+'直接配方'!$F$40*M33</x:f>
        <x:v>0</x:v>
      </x:c>
    </x:row>
    <x:row r="54" ht="40" customHeight="1">
      <x:c r="A54" s="22" t="str">
        <x:v>M_HNO3</x:v>
      </x:c>
      <x:c r="B54" s="22" t="str">
        <x:v>硝酸当量</x:v>
      </x:c>
      <x:c r="C54" s="22" t="str">
        <x:v>kg</x:v>
      </x:c>
      <x:c r="D54" s="34" t="n">
        <x:f>'直接配方'!$F$41*D53+'直接配方'!$F$42*D34</x:f>
        <x:v>1.7780740176474321</x:v>
      </x:c>
      <x:c r="E54" s="34" t="n">
        <x:f>'直接配方'!$F$41*E53+'直接配方'!$F$42*E34</x:f>
        <x:v>0</x:v>
      </x:c>
      <x:c r="F54" s="34" t="n">
        <x:f>'直接配方'!$F$41*F53+'直接配方'!$F$42*F34</x:f>
        <x:v>0</x:v>
      </x:c>
      <x:c r="G54" s="34" t="n">
        <x:f>'直接配方'!$F$41*G53+'直接配方'!$F$42*G34</x:f>
        <x:v>0</x:v>
      </x:c>
      <x:c r="H54" s="34" t="n">
        <x:f>'直接配方'!$F$41*H53+'直接配方'!$F$42*H34+'直接副产出'!$D$20</x:f>
        <x:v>0.28589792420491333</x:v>
      </x:c>
      <x:c r="I54" s="34" t="n">
        <x:f>'直接配方'!$F$41*I53+'直接配方'!$F$42*I34</x:f>
        <x:v>0</x:v>
      </x:c>
      <x:c r="J54" s="34" t="n">
        <x:f>'直接配方'!$F$41*J53+'直接配方'!$F$42*J34</x:f>
        <x:v>0</x:v>
      </x:c>
      <x:c r="K54" s="34" t="n">
        <x:f>'直接配方'!$F$41*K53+'直接配方'!$F$42*K34</x:f>
        <x:v>0.38085602742334795</x:v>
      </x:c>
      <x:c r="L54" s="34" t="n">
        <x:f>'直接配方'!$F$41*L53+'直接配方'!$F$42*L34</x:f>
        <x:v>0</x:v>
      </x:c>
      <x:c r="M54" s="34" t="n">
        <x:f>'直接配方'!$F$41*M53+'直接配方'!$F$42*M34</x:f>
        <x:v>0</x:v>
      </x:c>
    </x:row>
    <x:row r="55" ht="40" customHeight="1">
      <x:c r="A55" s="22" t="str">
        <x:v>M_ACID</x:v>
      </x:c>
      <x:c r="B55" s="22" t="str">
        <x:v>硫酸当量</x:v>
      </x:c>
      <x:c r="C55" s="22" t="str">
        <x:v>kg</x:v>
      </x:c>
      <x:c r="D55" s="34" t="n">
        <x:f>'直接配方'!$F$43*D14+'直接配方'!$F$44*D34+'直接配方'!$F$45*D32</x:f>
        <x:v>0.856819479566033</x:v>
      </x:c>
      <x:c r="E55" s="34" t="n">
        <x:f>'直接配方'!$F$43*E14+'直接配方'!$F$44*E34+'直接配方'!$F$45*E32</x:f>
        <x:v>0</x:v>
      </x:c>
      <x:c r="F55" s="34" t="n">
        <x:f>'直接配方'!$F$43*F14+'直接配方'!$F$44*F34+'直接配方'!$F$45*F32</x:f>
        <x:v>0</x:v>
      </x:c>
      <x:c r="G55" s="34" t="n">
        <x:f>'直接配方'!$F$43*G14+'直接配方'!$F$44*G34+'直接配方'!$F$45*G32</x:f>
        <x:v>0</x:v>
      </x:c>
      <x:c r="H55" s="34" t="n">
        <x:f>'直接配方'!$F$43*H14+'直接配方'!$F$44*H34+'直接配方'!$F$45*H32</x:f>
        <x:v>0</x:v>
      </x:c>
      <x:c r="I55" s="34" t="n">
        <x:f>'直接配方'!$F$43*I14+'直接配方'!$F$44*I34+'直接配方'!$F$45*I32</x:f>
        <x:v>0</x:v>
      </x:c>
      <x:c r="J55" s="34" t="n">
        <x:f>'直接配方'!$F$43*J14+'直接配方'!$F$44*J34+'直接配方'!$F$45*J32</x:f>
        <x:v>0</x:v>
      </x:c>
      <x:c r="K55" s="34" t="n">
        <x:f>'直接配方'!$F$43*K14+'直接配方'!$F$44*K34+'直接配方'!$F$45*K32</x:f>
        <x:v>0</x:v>
      </x:c>
      <x:c r="L55" s="34" t="n">
        <x:f>'直接配方'!$F$43*L14+'直接配方'!$F$44*L34+'直接配方'!$F$45*L32</x:f>
        <x:v>0</x:v>
      </x:c>
      <x:c r="M55" s="34" t="n">
        <x:f>'直接配方'!$F$43*M14+'直接配方'!$F$44*M34+'直接配方'!$F$45*M32</x:f>
        <x:v>0</x:v>
      </x:c>
    </x:row>
    <x:row r="56" ht="40" customHeight="1">
      <x:c r="A56" s="22" t="str">
        <x:v>M_PACID</x:v>
      </x:c>
      <x:c r="B56" s="22" t="str">
        <x:v>磷酸当量</x:v>
      </x:c>
      <x:c r="C56" s="22" t="str">
        <x:v>kg</x:v>
      </x:c>
      <x:c r="D56" s="34" t="n">
        <x:f>'直接配方'!$F$46*D15+'直接配方'!$F$47*D55+'直接配方'!$F$48*D32</x:f>
        <x:v>1.4291691328040492</x:v>
      </x:c>
      <x:c r="E56" s="34" t="n">
        <x:f>'直接配方'!$F$46*E15+'直接配方'!$F$47*E55+'直接配方'!$F$48*E32</x:f>
        <x:v>0</x:v>
      </x:c>
      <x:c r="F56" s="34" t="n">
        <x:f>'直接配方'!$F$46*F15+'直接配方'!$F$47*F55+'直接配方'!$F$48*F32</x:f>
        <x:v>0</x:v>
      </x:c>
      <x:c r="G56" s="34" t="n">
        <x:f>'直接配方'!$F$46*G15+'直接配方'!$F$47*G55+'直接配方'!$F$48*G32</x:f>
        <x:v>0</x:v>
      </x:c>
      <x:c r="H56" s="34" t="n">
        <x:f>'直接配方'!$F$46*H15+'直接配方'!$F$47*H55+'直接配方'!$F$48*H32</x:f>
        <x:v>0</x:v>
      </x:c>
      <x:c r="I56" s="34" t="n">
        <x:f>'直接配方'!$F$46*I15+'直接配方'!$F$47*I55+'直接配方'!$F$48*I32</x:f>
        <x:v>0</x:v>
      </x:c>
      <x:c r="J56" s="34" t="n">
        <x:f>'直接配方'!$F$46*J15+'直接配方'!$F$47*J55+'直接配方'!$F$48*J32+'直接副产出'!$D$22</x:f>
        <x:v>0.06805178548346498</x:v>
      </x:c>
      <x:c r="K56" s="34" t="n">
        <x:f>'直接配方'!$F$46*K15+'直接配方'!$F$47*K55+'直接配方'!$F$48*K32</x:f>
        <x:v>0</x:v>
      </x:c>
      <x:c r="L56" s="34" t="n">
        <x:f>'直接配方'!$F$46*L15+'直接配方'!$F$47*L55+'直接配方'!$F$48*L32</x:f>
        <x:v>0</x:v>
      </x:c>
      <x:c r="M56" s="34" t="n">
        <x:f>'直接配方'!$F$46*M15+'直接配方'!$F$47*M55+'直接配方'!$F$48*M32+'直接副产出'!$D$21</x:f>
        <x:v>2.9281384574565794</x:v>
      </x:c>
    </x:row>
    <x:row r="57" ht="40" customHeight="1">
      <x:c r="A57" s="22" t="str">
        <x:v>M_KOH</x:v>
      </x:c>
      <x:c r="B57" s="22" t="str">
        <x:v>氢氧化钾</x:v>
      </x:c>
      <x:c r="C57" s="22" t="str">
        <x:v>kg</x:v>
      </x:c>
      <x:c r="D57" s="34" t="n">
        <x:f>'直接配方'!$F$49*D16+'直接配方'!$F$50*D32</x:f>
        <x:v>0</x:v>
      </x:c>
      <x:c r="E57" s="34" t="n">
        <x:f>'直接配方'!$F$49*E16+'直接配方'!$F$50*E32</x:f>
        <x:v>0</x:v>
      </x:c>
      <x:c r="F57" s="34" t="n">
        <x:f>'直接配方'!$F$49*F16+'直接配方'!$F$50*F32+'直接副产出'!$D$23</x:f>
        <x:v>0.6318509936725782</x:v>
      </x:c>
      <x:c r="G57" s="34" t="n">
        <x:f>'直接配方'!$F$49*G16+'直接配方'!$F$50*G32+'直接副产出'!$D$24</x:f>
        <x:v>0.017966313162819714</x:v>
      </x:c>
      <x:c r="H57" s="34" t="n">
        <x:f>'直接配方'!$F$49*H16+'直接配方'!$F$50*H32</x:f>
        <x:v>0</x:v>
      </x:c>
      <x:c r="I57" s="34" t="n">
        <x:f>'直接配方'!$F$49*I16+'直接配方'!$F$50*I32</x:f>
        <x:v>0</x:v>
      </x:c>
      <x:c r="J57" s="34" t="n">
        <x:f>'直接配方'!$F$49*J16+'直接配方'!$F$50*J32</x:f>
        <x:v>0</x:v>
      </x:c>
      <x:c r="K57" s="34" t="n">
        <x:f>'直接配方'!$F$49*K16+'直接配方'!$F$50*K32</x:f>
        <x:v>0</x:v>
      </x:c>
      <x:c r="L57" s="34" t="n">
        <x:f>'直接配方'!$F$49*L16+'直接配方'!$F$50*L32</x:f>
        <x:v>0</x:v>
      </x:c>
      <x:c r="M57" s="34" t="n">
        <x:f>'直接配方'!$F$49*M16+'直接配方'!$F$50*M32</x:f>
        <x:v>0</x:v>
      </x:c>
    </x:row>
    <x:row r="58" ht="40" customHeight="1">
      <x:c r="A58" s="22" t="str">
        <x:v>M_NIOH</x:v>
      </x:c>
      <x:c r="B58" s="22" t="str">
        <x:v>氢氧化镍活性物质</x:v>
      </x:c>
      <x:c r="C58" s="22" t="str">
        <x:v>kg</x:v>
      </x:c>
      <x:c r="D58" s="34" t="n">
        <x:f>'直接配方'!$F$51*D20+'直接配方'!$F$52*D32</x:f>
        <x:v>0</x:v>
      </x:c>
      <x:c r="E58" s="34" t="n">
        <x:f>'直接配方'!$F$51*E20+'直接配方'!$F$52*E32</x:f>
        <x:v>0</x:v>
      </x:c>
      <x:c r="F58" s="34" t="n">
        <x:f>'直接配方'!$F$51*F20+'直接配方'!$F$52*F32</x:f>
        <x:v>0</x:v>
      </x:c>
      <x:c r="G58" s="34" t="n">
        <x:f>'直接配方'!$F$51*G20+'直接配方'!$F$52*G32</x:f>
        <x:v>0</x:v>
      </x:c>
      <x:c r="H58" s="34" t="n">
        <x:f>'直接配方'!$F$51*H20+'直接配方'!$F$52*H32</x:f>
        <x:v>0</x:v>
      </x:c>
      <x:c r="I58" s="34" t="n">
        <x:f>'直接配方'!$F$51*I20+'直接配方'!$F$52*I32</x:f>
        <x:v>0</x:v>
      </x:c>
      <x:c r="J58" s="34" t="n">
        <x:f>'直接配方'!$F$51*J20+'直接配方'!$F$52*J32</x:f>
        <x:v>0</x:v>
      </x:c>
      <x:c r="K58" s="34" t="n">
        <x:f>'直接配方'!$F$51*K20+'直接配方'!$F$52*K32</x:f>
        <x:v>0</x:v>
      </x:c>
      <x:c r="L58" s="34" t="n">
        <x:f>'直接配方'!$F$51*L20+'直接配方'!$F$52*L32</x:f>
        <x:v>0</x:v>
      </x:c>
      <x:c r="M58" s="34" t="n">
        <x:f>'直接配方'!$F$51*M20+'直接配方'!$F$52*M32</x:f>
        <x:v>0</x:v>
      </x:c>
    </x:row>
    <x:row r="59" ht="40" customHeight="1">
      <x:c r="A59" s="22" t="str">
        <x:v>I01</x:v>
      </x:c>
      <x:c r="B59" s="22" t="str">
        <x:v>烧结砖/铺面块</x:v>
      </x:c>
      <x:c r="C59" s="22" t="str">
        <x:v>kg</x:v>
      </x:c>
      <x:c r="D59" s="34" t="n">
        <x:f>'直接配方'!$F$53*D10</x:f>
        <x:v>0</x:v>
      </x:c>
      <x:c r="E59" s="34" t="n">
        <x:f>'直接配方'!$F$53*E10</x:f>
        <x:v>0</x:v>
      </x:c>
      <x:c r="F59" s="34" t="n">
        <x:f>'直接配方'!$F$53*F10</x:f>
        <x:v>0</x:v>
      </x:c>
      <x:c r="G59" s="34" t="n">
        <x:f>'直接配方'!$F$53*G10</x:f>
        <x:v>0</x:v>
      </x:c>
      <x:c r="H59" s="34" t="n">
        <x:f>'直接配方'!$F$53*H10</x:f>
        <x:v>0</x:v>
      </x:c>
      <x:c r="I59" s="34" t="n">
        <x:f>'直接配方'!$F$53*I10</x:f>
        <x:v>0</x:v>
      </x:c>
      <x:c r="J59" s="34" t="n">
        <x:f>'直接配方'!$F$53*J10</x:f>
        <x:v>0</x:v>
      </x:c>
      <x:c r="K59" s="34" t="n">
        <x:f>'直接配方'!$F$53*K10</x:f>
        <x:v>0</x:v>
      </x:c>
      <x:c r="L59" s="34" t="n">
        <x:f>'直接配方'!$F$53*L10</x:f>
        <x:v>0</x:v>
      </x:c>
      <x:c r="M59" s="34" t="n">
        <x:f>'直接配方'!$F$53*M10</x:f>
        <x:v>0</x:v>
      </x:c>
    </x:row>
    <x:row r="60" ht="40" customHeight="1">
      <x:c r="A60" s="22" t="str">
        <x:v>I02</x:v>
      </x:c>
      <x:c r="B60" s="22" t="str">
        <x:v>陶瓷管/耐火件</x:v>
      </x:c>
      <x:c r="C60" s="22" t="str">
        <x:v>kg</x:v>
      </x:c>
      <x:c r="D60" s="34" t="n">
        <x:f>'直接配方'!$F$54*D49</x:f>
        <x:v>0</x:v>
      </x:c>
      <x:c r="E60" s="34" t="n">
        <x:f>'直接配方'!$F$54*E49</x:f>
        <x:v>0</x:v>
      </x:c>
      <x:c r="F60" s="34" t="n">
        <x:f>'直接配方'!$F$54*F49</x:f>
        <x:v>0</x:v>
      </x:c>
      <x:c r="G60" s="34" t="n">
        <x:f>'直接配方'!$F$54*G49</x:f>
        <x:v>0</x:v>
      </x:c>
      <x:c r="H60" s="34" t="n">
        <x:f>'直接配方'!$F$54*H49</x:f>
        <x:v>0</x:v>
      </x:c>
      <x:c r="I60" s="34" t="n">
        <x:f>'直接配方'!$F$54*I49</x:f>
        <x:v>0</x:v>
      </x:c>
      <x:c r="J60" s="34" t="n">
        <x:f>'直接配方'!$F$54*J49</x:f>
        <x:v>0</x:v>
      </x:c>
      <x:c r="K60" s="34" t="n">
        <x:f>'直接配方'!$F$54*K49</x:f>
        <x:v>0</x:v>
      </x:c>
      <x:c r="L60" s="34" t="n">
        <x:f>'直接配方'!$F$54*L49</x:f>
        <x:v>0</x:v>
      </x:c>
      <x:c r="M60" s="34" t="n">
        <x:f>'直接配方'!$F$54*M49</x:f>
        <x:v>0</x:v>
      </x:c>
    </x:row>
    <x:row r="61" ht="40" customHeight="1">
      <x:c r="A61" s="22" t="str">
        <x:v>I03</x:v>
      </x:c>
      <x:c r="B61" s="22" t="str">
        <x:v>岩棉/玄武岩纤维</x:v>
      </x:c>
      <x:c r="C61" s="22" t="str">
        <x:v>kg</x:v>
      </x:c>
      <x:c r="D61" s="34" t="n">
        <x:f>'直接配方'!$F$55*D50</x:f>
        <x:v>0</x:v>
      </x:c>
      <x:c r="E61" s="34" t="n">
        <x:f>'直接配方'!$F$55*E50</x:f>
        <x:v>0</x:v>
      </x:c>
      <x:c r="F61" s="34" t="n">
        <x:f>'直接配方'!$F$55*F50</x:f>
        <x:v>0</x:v>
      </x:c>
      <x:c r="G61" s="34" t="n">
        <x:f>'直接配方'!$F$55*G50</x:f>
        <x:v>0</x:v>
      </x:c>
      <x:c r="H61" s="34" t="n">
        <x:f>'直接配方'!$F$55*H50</x:f>
        <x:v>0</x:v>
      </x:c>
      <x:c r="I61" s="34" t="n">
        <x:f>'直接配方'!$F$55*I50</x:f>
        <x:v>0</x:v>
      </x:c>
      <x:c r="J61" s="34" t="n">
        <x:f>'直接配方'!$F$55*J50</x:f>
        <x:v>0</x:v>
      </x:c>
      <x:c r="K61" s="34" t="n">
        <x:f>'直接配方'!$F$55*K50</x:f>
        <x:v>0</x:v>
      </x:c>
      <x:c r="L61" s="34" t="n">
        <x:f>'直接配方'!$F$55*L50</x:f>
        <x:v>0</x:v>
      </x:c>
      <x:c r="M61" s="34" t="n">
        <x:f>'直接配方'!$F$55*M50</x:f>
        <x:v>0</x:v>
      </x:c>
    </x:row>
    <x:row r="62" ht="40" customHeight="1">
      <x:c r="A62" s="22" t="str">
        <x:v>I04</x:v>
      </x:c>
      <x:c r="B62" s="22" t="str">
        <x:v>透明硅玻璃板</x:v>
      </x:c>
      <x:c r="C62" s="22" t="str">
        <x:v>m²（厚5mm）</x:v>
      </x:c>
      <x:c r="D62" s="34" t="n">
        <x:f>'直接配方'!$F$56*D48</x:f>
        <x:v>0</x:v>
      </x:c>
      <x:c r="E62" s="34" t="n">
        <x:f>'直接配方'!$F$56*E48</x:f>
        <x:v>0</x:v>
      </x:c>
      <x:c r="F62" s="34" t="n">
        <x:f>'直接配方'!$F$56*F48</x:f>
        <x:v>0</x:v>
      </x:c>
      <x:c r="G62" s="34" t="n">
        <x:f>'直接配方'!$F$56*G48</x:f>
        <x:v>0</x:v>
      </x:c>
      <x:c r="H62" s="34" t="n">
        <x:f>'直接配方'!$F$56*H48</x:f>
        <x:v>0</x:v>
      </x:c>
      <x:c r="I62" s="34" t="n">
        <x:f>'直接配方'!$F$56*I48</x:f>
        <x:v>0</x:v>
      </x:c>
      <x:c r="J62" s="34" t="n">
        <x:f>'直接配方'!$F$56*J48</x:f>
        <x:v>0</x:v>
      </x:c>
      <x:c r="K62" s="34" t="n">
        <x:f>'直接配方'!$F$56*K48</x:f>
        <x:v>0</x:v>
      </x:c>
      <x:c r="L62" s="34" t="n">
        <x:f>'直接配方'!$F$56*L48</x:f>
        <x:v>0</x:v>
      </x:c>
      <x:c r="M62" s="34" t="n">
        <x:f>'直接配方'!$F$56*M48</x:f>
        <x:v>0</x:v>
      </x:c>
    </x:row>
    <x:row r="63" ht="40" customHeight="1">
      <x:c r="A63" s="22" t="str">
        <x:v>I05</x:v>
      </x:c>
      <x:c r="B63" s="22" t="str">
        <x:v>低碳钢零件</x:v>
      </x:c>
      <x:c r="C63" s="22" t="str">
        <x:v>kg</x:v>
      </x:c>
      <x:c r="D63" s="34" t="n">
        <x:f>'直接配方'!$F$57*D37</x:f>
        <x:v>0</x:v>
      </x:c>
      <x:c r="E63" s="34" t="n">
        <x:f>'直接配方'!$F$57*E37</x:f>
        <x:v>0</x:v>
      </x:c>
      <x:c r="F63" s="34" t="n">
        <x:f>'直接配方'!$F$57*F37</x:f>
        <x:v>0</x:v>
      </x:c>
      <x:c r="G63" s="34" t="n">
        <x:f>'直接配方'!$F$57*G37</x:f>
        <x:v>0</x:v>
      </x:c>
      <x:c r="H63" s="34" t="n">
        <x:f>'直接配方'!$F$57*H37</x:f>
        <x:v>0.4889156970735462</x:v>
      </x:c>
      <x:c r="I63" s="34" t="n">
        <x:f>'直接配方'!$F$57*I37</x:f>
        <x:v>0</x:v>
      </x:c>
      <x:c r="J63" s="34" t="n">
        <x:f>'直接配方'!$F$57*J37</x:f>
        <x:v>0</x:v>
      </x:c>
      <x:c r="K63" s="34" t="n">
        <x:f>'直接配方'!$F$57*K37</x:f>
        <x:v>0.434202733137922</x:v>
      </x:c>
      <x:c r="L63" s="34" t="n">
        <x:f>'直接配方'!$F$57*L37</x:f>
        <x:v>0</x:v>
      </x:c>
      <x:c r="M63" s="34" t="n">
        <x:f>'直接配方'!$F$57*M37</x:f>
        <x:v>0</x:v>
      </x:c>
    </x:row>
    <x:row r="64" ht="40" customHeight="1">
      <x:c r="A64" s="22" t="str">
        <x:v>I06</x:v>
      </x:c>
      <x:c r="B64" s="22" t="str">
        <x:v>裸铜导线</x:v>
      </x:c>
      <x:c r="C64" s="22" t="str">
        <x:v>kg</x:v>
      </x:c>
      <x:c r="D64" s="34" t="n">
        <x:f>'直接配方'!$F$58*D38</x:f>
        <x:v>0</x:v>
      </x:c>
      <x:c r="E64" s="34" t="n">
        <x:f>'直接配方'!$F$58*E38</x:f>
        <x:v>0</x:v>
      </x:c>
      <x:c r="F64" s="34" t="n">
        <x:f>'直接配方'!$F$58*F38</x:f>
        <x:v>0</x:v>
      </x:c>
      <x:c r="G64" s="34" t="n">
        <x:f>'直接配方'!$F$58*G38</x:f>
        <x:v>0</x:v>
      </x:c>
      <x:c r="H64" s="34" t="n">
        <x:f>'直接配方'!$F$58*H38</x:f>
        <x:v>0.2834954206401662</x:v>
      </x:c>
      <x:c r="I64" s="34" t="n">
        <x:f>'直接配方'!$F$58*I38</x:f>
        <x:v>0</x:v>
      </x:c>
      <x:c r="J64" s="34" t="n">
        <x:f>'直接配方'!$F$58*J38</x:f>
        <x:v>0</x:v>
      </x:c>
      <x:c r="K64" s="34" t="n">
        <x:f>'直接配方'!$F$58*K38</x:f>
        <x:v>0.25177037106977623</x:v>
      </x:c>
      <x:c r="L64" s="34" t="n">
        <x:f>'直接配方'!$F$58*L38</x:f>
        <x:v>0</x:v>
      </x:c>
      <x:c r="M64" s="34" t="n">
        <x:f>'直接配方'!$F$58*M38</x:f>
        <x:v>0</x:v>
      </x:c>
    </x:row>
    <x:row r="65" ht="40" customHeight="1">
      <x:c r="A65" s="22" t="str">
        <x:v>I07</x:v>
      </x:c>
      <x:c r="B65" s="22" t="str">
        <x:v>PE管材/薄膜</x:v>
      </x:c>
      <x:c r="C65" s="22" t="str">
        <x:v>kg</x:v>
      </x:c>
      <x:c r="D65" s="34" t="n">
        <x:f>'直接配方'!$F$59*D46</x:f>
        <x:v>0</x:v>
      </x:c>
      <x:c r="E65" s="34" t="n">
        <x:f>'直接配方'!$F$59*E46</x:f>
        <x:v>0</x:v>
      </x:c>
      <x:c r="F65" s="34" t="n">
        <x:f>'直接配方'!$F$59*F46</x:f>
        <x:v>0</x:v>
      </x:c>
      <x:c r="G65" s="34" t="n">
        <x:f>'直接配方'!$F$59*G46</x:f>
        <x:v>0</x:v>
      </x:c>
      <x:c r="H65" s="34" t="n">
        <x:f>'直接配方'!$F$59*H46</x:f>
        <x:v>2.5686176659299926</x:v>
      </x:c>
      <x:c r="I65" s="34" t="n">
        <x:f>'直接配方'!$F$59*I46</x:f>
        <x:v>0</x:v>
      </x:c>
      <x:c r="J65" s="34" t="n">
        <x:f>'直接配方'!$F$59*J46</x:f>
        <x:v>0</x:v>
      </x:c>
      <x:c r="K65" s="34" t="n">
        <x:f>'直接配方'!$F$59*K46</x:f>
        <x:v>3.4217580380694375</x:v>
      </x:c>
      <x:c r="L65" s="34" t="n">
        <x:f>'直接配方'!$F$59*L46</x:f>
        <x:v>0</x:v>
      </x:c>
      <x:c r="M65" s="34" t="n">
        <x:f>'直接配方'!$F$59*M46</x:f>
        <x:v>0</x:v>
      </x:c>
    </x:row>
    <x:row r="66" ht="40" customHeight="1">
      <x:c r="A66" s="22" t="str">
        <x:v>I08</x:v>
      </x:c>
      <x:c r="B66" s="22" t="str">
        <x:v>硅橡胶密封件</x:v>
      </x:c>
      <x:c r="C66" s="22" t="str">
        <x:v>kg</x:v>
      </x:c>
      <x:c r="D66" s="34" t="n">
        <x:f>'直接配方'!$F$60*D51</x:f>
        <x:v>0.6043638913612214</x:v>
      </x:c>
      <x:c r="E66" s="34" t="n">
        <x:f>'直接配方'!$F$60*E51</x:f>
        <x:v>0</x:v>
      </x:c>
      <x:c r="F66" s="34" t="n">
        <x:f>'直接配方'!$F$60*F51</x:f>
        <x:v>0</x:v>
      </x:c>
      <x:c r="G66" s="34" t="n">
        <x:f>'直接配方'!$F$60*G51</x:f>
        <x:v>0</x:v>
      </x:c>
      <x:c r="H66" s="34" t="n">
        <x:f>'直接配方'!$F$60*H51</x:f>
        <x:v>1.3604660571243632</x:v>
      </x:c>
      <x:c r="I66" s="34" t="n">
        <x:f>'直接配方'!$F$60*I51</x:f>
        <x:v>0</x:v>
      </x:c>
      <x:c r="J66" s="34" t="n">
        <x:f>'直接配方'!$F$60*J51</x:f>
        <x:v>0</x:v>
      </x:c>
      <x:c r="K66" s="34" t="n">
        <x:f>'直接配方'!$F$60*K51</x:f>
        <x:v>1.7260296140464442</x:v>
      </x:c>
      <x:c r="L66" s="34" t="n">
        <x:f>'直接配方'!$F$60*L51</x:f>
        <x:v>0</x:v>
      </x:c>
      <x:c r="M66" s="34" t="n">
        <x:f>'直接配方'!$F$60*M51</x:f>
        <x:v>0</x:v>
      </x:c>
    </x:row>
    <x:row r="67" ht="40" customHeight="1">
      <x:c r="A67" s="22" t="str">
        <x:v>I09</x:v>
      </x:c>
      <x:c r="B67" s="22" t="str">
        <x:v>润滑基料</x:v>
      </x:c>
      <x:c r="C67" s="22" t="str">
        <x:v>kg</x:v>
      </x:c>
      <x:c r="D67" s="34" t="n">
        <x:f>'直接配方'!$F$61*D52</x:f>
        <x:v>0</x:v>
      </x:c>
      <x:c r="E67" s="34" t="n">
        <x:f>'直接配方'!$F$61*E52</x:f>
        <x:v>0</x:v>
      </x:c>
      <x:c r="F67" s="34" t="n">
        <x:f>'直接配方'!$F$61*F52</x:f>
        <x:v>0</x:v>
      </x:c>
      <x:c r="G67" s="34" t="n">
        <x:f>'直接配方'!$F$61*G52</x:f>
        <x:v>0</x:v>
      </x:c>
      <x:c r="H67" s="34" t="n">
        <x:f>'直接配方'!$F$61*H52</x:f>
        <x:v>2.5686176659299926</x:v>
      </x:c>
      <x:c r="I67" s="34" t="n">
        <x:f>'直接配方'!$F$61*I52</x:f>
        <x:v>0</x:v>
      </x:c>
      <x:c r="J67" s="34" t="n">
        <x:f>'直接配方'!$F$61*J52</x:f>
        <x:v>0</x:v>
      </x:c>
      <x:c r="K67" s="34" t="n">
        <x:f>'直接配方'!$F$61*K52</x:f>
        <x:v>3.4217580380694375</x:v>
      </x:c>
      <x:c r="L67" s="34" t="n">
        <x:f>'直接配方'!$F$61*L52</x:f>
        <x:v>0</x:v>
      </x:c>
      <x:c r="M67" s="34" t="n">
        <x:f>'直接配方'!$F$61*M52</x:f>
        <x:v>0</x:v>
      </x:c>
    </x:row>
    <x:row r="68" ht="40" customHeight="1">
      <x:c r="A68" s="22" t="str">
        <x:v>I10</x:v>
      </x:c>
      <x:c r="B68" s="22" t="str">
        <x:v>钢制紧固件</x:v>
      </x:c>
      <x:c r="C68" s="22" t="str">
        <x:v>kg</x:v>
      </x:c>
      <x:c r="D68" s="34" t="n">
        <x:f>'直接配方'!$F$62*D37</x:f>
        <x:v>0</x:v>
      </x:c>
      <x:c r="E68" s="34" t="n">
        <x:f>'直接配方'!$F$62*E37</x:f>
        <x:v>0</x:v>
      </x:c>
      <x:c r="F68" s="34" t="n">
        <x:f>'直接配方'!$F$62*F37</x:f>
        <x:v>0</x:v>
      </x:c>
      <x:c r="G68" s="34" t="n">
        <x:f>'直接配方'!$F$62*G37</x:f>
        <x:v>0</x:v>
      </x:c>
      <x:c r="H68" s="34" t="n">
        <x:f>'直接配方'!$F$62*H37</x:f>
        <x:v>0.4889156970735462</x:v>
      </x:c>
      <x:c r="I68" s="34" t="n">
        <x:f>'直接配方'!$F$62*I37</x:f>
        <x:v>0</x:v>
      </x:c>
      <x:c r="J68" s="34" t="n">
        <x:f>'直接配方'!$F$62*J37</x:f>
        <x:v>0</x:v>
      </x:c>
      <x:c r="K68" s="34" t="n">
        <x:f>'直接配方'!$F$62*K37</x:f>
        <x:v>0.434202733137922</x:v>
      </x:c>
      <x:c r="L68" s="34" t="n">
        <x:f>'直接配方'!$F$62*L37</x:f>
        <x:v>0</x:v>
      </x:c>
      <x:c r="M68" s="34" t="n">
        <x:f>'直接配方'!$F$62*M37</x:f>
        <x:v>0</x:v>
      </x:c>
    </x:row>
    <x:row r="69" ht="40" customHeight="1">
      <x:c r="A69" s="22" t="str">
        <x:v>I11</x:v>
      </x:c>
      <x:c r="B69" s="22" t="str">
        <x:v>流体泵套件</x:v>
      </x:c>
      <x:c r="C69" s="22" t="str">
        <x:v>套（名义1kW）</x:v>
      </x:c>
      <x:c r="D69" s="34" t="n">
        <x:f>'直接配方'!$F$63*D37+'直接配方'!$F$64*D38+'直接配方'!$F$65*D51+'直接配方'!$F$66*D49+'直接配方'!$F$67*D27+'直接配方'!$F$68*D28</x:f>
        <x:v>0.12087277827224428</x:v>
      </x:c>
      <x:c r="E69" s="34" t="n">
        <x:f>'直接配方'!$F$63*E37+'直接配方'!$F$64*E38+'直接配方'!$F$65*E51+'直接配方'!$F$66*E49+'直接配方'!$F$67*E27+'直接配方'!$F$68*E28</x:f>
        <x:v>0</x:v>
      </x:c>
      <x:c r="F69" s="34" t="n">
        <x:f>'直接配方'!$F$63*F37+'直接配方'!$F$64*F38+'直接配方'!$F$65*F51+'直接配方'!$F$66*F49+'直接配方'!$F$67*F27+'直接配方'!$F$68*F28</x:f>
        <x:v>0</x:v>
      </x:c>
      <x:c r="G69" s="34" t="n">
        <x:f>'直接配方'!$F$63*G37+'直接配方'!$F$64*G38+'直接配方'!$F$65*G51+'直接配方'!$F$66*G49+'直接配方'!$F$67*G27+'直接配方'!$F$68*G28</x:f>
        <x:v>0</x:v>
      </x:c>
      <x:c r="H69" s="34" t="n">
        <x:f>'直接配方'!$F$63*H37+'直接配方'!$F$64*H38+'直接配方'!$F$65*H51+'直接配方'!$F$66*H49+'直接配方'!$F$67*H27+'直接配方'!$F$68*H28</x:f>
        <x:v>6.5643247072676765</x:v>
      </x:c>
      <x:c r="I69" s="34" t="n">
        <x:f>'直接配方'!$F$63*I37+'直接配方'!$F$64*I38+'直接配方'!$F$65*I51+'直接配方'!$F$66*I49+'直接配方'!$F$67*I27+'直接配方'!$F$68*I28</x:f>
        <x:v>0</x:v>
      </x:c>
      <x:c r="J69" s="34" t="n">
        <x:f>'直接配方'!$F$63*J37+'直接配方'!$F$64*J38+'直接配方'!$F$65*J51+'直接配方'!$F$66*J49+'直接配方'!$F$67*J27+'直接配方'!$F$68*J28</x:f>
        <x:v>0</x:v>
      </x:c>
      <x:c r="K69" s="34" t="n">
        <x:f>'直接配方'!$F$63*K37+'直接配方'!$F$64*K38+'直接配方'!$F$65*K51+'直接配方'!$F$66*K49+'直接配方'!$F$67*K27+'直接配方'!$F$68*K28</x:f>
        <x:v>5.933294277069018</x:v>
      </x:c>
      <x:c r="L69" s="34" t="n">
        <x:f>'直接配方'!$F$63*L37+'直接配方'!$F$64*L38+'直接配方'!$F$65*L51+'直接配方'!$F$66*L49+'直接配方'!$F$67*L27+'直接配方'!$F$68*L28</x:f>
        <x:v>0</x:v>
      </x:c>
      <x:c r="M69" s="34" t="n">
        <x:f>'直接配方'!$F$63*M37+'直接配方'!$F$64*M38+'直接配方'!$F$65*M51+'直接配方'!$F$66*M49+'直接配方'!$F$67*M27+'直接配方'!$F$68*M28</x:f>
        <x:v>0</x:v>
      </x:c>
    </x:row>
    <x:row r="70" ht="40" customHeight="1">
      <x:c r="A70" s="22" t="str">
        <x:v>I12</x:v>
      </x:c>
      <x:c r="B70" s="22" t="str">
        <x:v>感应电机套件</x:v>
      </x:c>
      <x:c r="C70" s="22" t="str">
        <x:v>套（名义1kW）</x:v>
      </x:c>
      <x:c r="D70" s="34" t="n">
        <x:f>'直接配方'!$F$69*D37+'直接配方'!$F$70*D38+'直接配方'!$F$71*D48+'直接配方'!$F$72*D51+'直接配方'!$F$73*D27+'直接配方'!$F$74*D28</x:f>
        <x:v>0.06043638913612214</x:v>
      </x:c>
      <x:c r="E70" s="34" t="n">
        <x:f>'直接配方'!$F$69*E37+'直接配方'!$F$70*E38+'直接配方'!$F$71*E48+'直接配方'!$F$72*E51+'直接配方'!$F$73*E27+'直接配方'!$F$74*E28</x:f>
        <x:v>0</x:v>
      </x:c>
      <x:c r="F70" s="34" t="n">
        <x:f>'直接配方'!$F$69*F37+'直接配方'!$F$70*F38+'直接配方'!$F$71*F48+'直接配方'!$F$72*F51+'直接配方'!$F$73*F27+'直接配方'!$F$74*F28</x:f>
        <x:v>0</x:v>
      </x:c>
      <x:c r="G70" s="34" t="n">
        <x:f>'直接配方'!$F$69*G37+'直接配方'!$F$70*G38+'直接配方'!$F$71*G48+'直接配方'!$F$72*G51+'直接配方'!$F$73*G27+'直接配方'!$F$74*G28</x:f>
        <x:v>0</x:v>
      </x:c>
      <x:c r="H70" s="34" t="n">
        <x:f>'直接配方'!$F$69*H37+'直接配方'!$F$70*H38+'直接配方'!$F$71*H48+'直接配方'!$F$72*H51+'直接配方'!$F$73*H27+'直接配方'!$F$74*H28</x:f>
        <x:v>5.59219441772823</x:v>
      </x:c>
      <x:c r="I70" s="34" t="n">
        <x:f>'直接配方'!$F$69*I37+'直接配方'!$F$70*I38+'直接配方'!$F$71*I48+'直接配方'!$F$72*I51+'直接配方'!$F$73*I27+'直接配方'!$F$74*I28</x:f>
        <x:v>0</x:v>
      </x:c>
      <x:c r="J70" s="34" t="n">
        <x:f>'直接配方'!$F$69*J37+'直接配方'!$F$70*J38+'直接配方'!$F$71*J48+'直接配方'!$F$72*J51+'直接配方'!$F$73*J27+'直接配方'!$F$74*J28</x:f>
        <x:v>0</x:v>
      </x:c>
      <x:c r="K70" s="34" t="n">
        <x:f>'直接配方'!$F$69*K37+'直接配方'!$F$70*K38+'直接配方'!$F$71*K48+'直接配方'!$F$72*K51+'直接配方'!$F$73*K27+'直接配方'!$F$74*K28</x:f>
        <x:v>5.018171034923417</x:v>
      </x:c>
      <x:c r="L70" s="34" t="n">
        <x:f>'直接配方'!$F$69*L37+'直接配方'!$F$70*L38+'直接配方'!$F$71*L48+'直接配方'!$F$72*L51+'直接配方'!$F$73*L27+'直接配方'!$F$74*L28</x:f>
        <x:v>0</x:v>
      </x:c>
      <x:c r="M70" s="34" t="n">
        <x:f>'直接配方'!$F$69*M37+'直接配方'!$F$70*M38+'直接配方'!$F$71*M48+'直接配方'!$F$72*M51+'直接配方'!$F$73*M27+'直接配方'!$F$74*M28</x:f>
        <x:v>0</x:v>
      </x:c>
    </x:row>
    <x:row r="71" ht="40" customHeight="1">
      <x:c r="A71" s="22" t="str">
        <x:v>I13</x:v>
      </x:c>
      <x:c r="B71" s="22" t="str">
        <x:v>储液/储气容器套件</x:v>
      </x:c>
      <x:c r="C71" s="22" t="str">
        <x:v>套（容积1m³）</x:v>
      </x:c>
      <x:c r="D71" s="34" t="n">
        <x:f>'直接配方'!$F$75*D37+'直接配方'!$F$76*D51+'直接配方'!$F$77*D38+'直接配方'!$F$78*D27+'直接配方'!$F$79*D28</x:f>
        <x:v>0.12087277827224428</x:v>
      </x:c>
      <x:c r="E71" s="34" t="n">
        <x:f>'直接配方'!$F$75*E37+'直接配方'!$F$76*E51+'直接配方'!$F$77*E38+'直接配方'!$F$78*E27+'直接配方'!$F$79*E28</x:f>
        <x:v>0</x:v>
      </x:c>
      <x:c r="F71" s="34" t="n">
        <x:f>'直接配方'!$F$75*F37+'直接配方'!$F$76*F51+'直接配方'!$F$77*F38+'直接配方'!$F$78*F27+'直接配方'!$F$79*F28</x:f>
        <x:v>0</x:v>
      </x:c>
      <x:c r="G71" s="34" t="n">
        <x:f>'直接配方'!$F$75*G37+'直接配方'!$F$76*G51+'直接配方'!$F$77*G38+'直接配方'!$F$78*G27+'直接配方'!$F$79*G28</x:f>
        <x:v>0</x:v>
      </x:c>
      <x:c r="H71" s="34" t="n">
        <x:f>'直接配方'!$F$75*H37+'直接配方'!$F$76*H51+'直接配方'!$F$77*H38+'直接配方'!$F$78*H27+'直接配方'!$F$79*H28</x:f>
        <x:v>29.74878274615773</x:v>
      </x:c>
      <x:c r="I71" s="34" t="n">
        <x:f>'直接配方'!$F$75*I37+'直接配方'!$F$76*I51+'直接配方'!$F$77*I38+'直接配方'!$F$78*I27+'直接配方'!$F$79*I28</x:f>
        <x:v>0</x:v>
      </x:c>
      <x:c r="J71" s="34" t="n">
        <x:f>'直接配方'!$F$75*J37+'直接配方'!$F$76*J51+'直接配方'!$F$77*J38+'直接配方'!$F$78*J27+'直接配方'!$F$79*J28</x:f>
        <x:v>0</x:v>
      </x:c>
      <x:c r="K71" s="34" t="n">
        <x:f>'直接配方'!$F$75*K37+'直接配方'!$F$76*K51+'直接配方'!$F$77*K38+'直接配方'!$F$78*K27+'直接配方'!$F$79*K28</x:f>
        <x:v>26.523255096619497</x:v>
      </x:c>
      <x:c r="L71" s="34" t="n">
        <x:f>'直接配方'!$F$75*L37+'直接配方'!$F$76*L51+'直接配方'!$F$77*L38+'直接配方'!$F$78*L27+'直接配方'!$F$79*L28</x:f>
        <x:v>0</x:v>
      </x:c>
      <x:c r="M71" s="34" t="n">
        <x:f>'直接配方'!$F$75*M37+'直接配方'!$F$76*M51+'直接配方'!$F$77*M38+'直接配方'!$F$78*M27+'直接配方'!$F$79*M28</x:f>
        <x:v>0</x:v>
      </x:c>
    </x:row>
    <x:row r="72" ht="40" customHeight="1">
      <x:c r="A72" s="22" t="str">
        <x:v>I14</x:v>
      </x:c>
      <x:c r="B72" s="22" t="str">
        <x:v>电热炉套件</x:v>
      </x:c>
      <x:c r="C72" s="22" t="str">
        <x:v>套（名义1kW输入）</x:v>
      </x:c>
      <x:c r="D72" s="34" t="n">
        <x:f>'直接配方'!$F$80*D37+'直接配方'!$F$81*D49+'直接配方'!$F$82*D38+'直接配方'!$F$83*D35+'直接配方'!$F$84*D27+'直接配方'!$F$85*D29</x:f>
        <x:v>0</x:v>
      </x:c>
      <x:c r="E72" s="34" t="n">
        <x:f>'直接配方'!$F$80*E37+'直接配方'!$F$81*E49+'直接配方'!$F$82*E38+'直接配方'!$F$83*E35+'直接配方'!$F$84*E27+'直接配方'!$F$85*E29</x:f>
        <x:v>0</x:v>
      </x:c>
      <x:c r="F72" s="34" t="n">
        <x:f>'直接配方'!$F$80*F37+'直接配方'!$F$81*F49+'直接配方'!$F$82*F38+'直接配方'!$F$83*F35+'直接配方'!$F$84*F27+'直接配方'!$F$85*F29</x:f>
        <x:v>0</x:v>
      </x:c>
      <x:c r="G72" s="34" t="n">
        <x:f>'直接配方'!$F$80*G37+'直接配方'!$F$81*G49+'直接配方'!$F$82*G38+'直接配方'!$F$83*G35+'直接配方'!$F$84*G27+'直接配方'!$F$85*G29</x:f>
        <x:v>0</x:v>
      </x:c>
      <x:c r="H72" s="34" t="n">
        <x:f>'直接配方'!$F$80*H37+'直接配方'!$F$81*H49+'直接配方'!$F$82*H38+'直接配方'!$F$83*H35+'直接配方'!$F$84*H27+'直接配方'!$F$85*H29</x:f>
        <x:v>4.086201310166209</x:v>
      </x:c>
      <x:c r="I72" s="34" t="n">
        <x:f>'直接配方'!$F$80*I37+'直接配方'!$F$81*I49+'直接配方'!$F$82*I38+'直接配方'!$F$83*I35+'直接配方'!$F$84*I27+'直接配方'!$F$85*I29</x:f>
        <x:v>0</x:v>
      </x:c>
      <x:c r="J72" s="34" t="n">
        <x:f>'直接配方'!$F$80*J37+'直接配方'!$F$81*J49+'直接配方'!$F$82*J38+'直接配方'!$F$83*J35+'直接配方'!$F$84*J27+'直接配方'!$F$85*J29</x:f>
        <x:v>0</x:v>
      </x:c>
      <x:c r="K72" s="34" t="n">
        <x:f>'直接配方'!$F$80*K37+'直接配方'!$F$81*K49+'直接配方'!$F$82*K38+'直接配方'!$F$83*K35+'直接配方'!$F$84*K27+'直接配方'!$F$85*K29</x:f>
        <x:v>3.6289278246655106</x:v>
      </x:c>
      <x:c r="L72" s="34" t="n">
        <x:f>'直接配方'!$F$80*L37+'直接配方'!$F$81*L49+'直接配方'!$F$82*L38+'直接配方'!$F$83*L35+'直接配方'!$F$84*L27+'直接配方'!$F$85*L29</x:f>
        <x:v>0</x:v>
      </x:c>
      <x:c r="M72" s="34" t="n">
        <x:f>'直接配方'!$F$80*M37+'直接配方'!$F$81*M49+'直接配方'!$F$82*M38+'直接配方'!$F$83*M35+'直接配方'!$F$84*M27+'直接配方'!$F$85*M29</x:f>
        <x:v>0</x:v>
      </x:c>
    </x:row>
    <x:row r="73" ht="40" customHeight="1">
      <x:c r="A73" s="22" t="str">
        <x:v>I15</x:v>
      </x:c>
      <x:c r="B73" s="22" t="str">
        <x:v>机加工设备套件</x:v>
      </x:c>
      <x:c r="C73" s="22" t="str">
        <x:v>套（名义1kW主驱动）</x:v>
      </x:c>
      <x:c r="D73" s="34" t="n">
        <x:f>'直接配方'!$F$86*D37+'直接配方'!$F$87*D38+'直接配方'!$F$88*D49+'直接配方'!$F$89*D52+'直接配方'!$F$90*D27+'直接配方'!$F$91*D28</x:f>
        <x:v>0</x:v>
      </x:c>
      <x:c r="E73" s="34" t="n">
        <x:f>'直接配方'!$F$86*E37+'直接配方'!$F$87*E38+'直接配方'!$F$88*E49+'直接配方'!$F$89*E52+'直接配方'!$F$90*E27+'直接配方'!$F$91*E28</x:f>
        <x:v>0</x:v>
      </x:c>
      <x:c r="F73" s="34" t="n">
        <x:f>'直接配方'!$F$86*F37+'直接配方'!$F$87*F38+'直接配方'!$F$88*F49+'直接配方'!$F$89*F52+'直接配方'!$F$90*F27+'直接配方'!$F$91*F28</x:f>
        <x:v>0</x:v>
      </x:c>
      <x:c r="G73" s="34" t="n">
        <x:f>'直接配方'!$F$86*G37+'直接配方'!$F$87*G38+'直接配方'!$F$88*G49+'直接配方'!$F$89*G52+'直接配方'!$F$90*G27+'直接配方'!$F$91*G28</x:f>
        <x:v>0</x:v>
      </x:c>
      <x:c r="H73" s="34" t="n">
        <x:f>'直接配方'!$F$86*H37+'直接配方'!$F$87*H38+'直接配方'!$F$88*H49+'直接配方'!$F$89*H52+'直接配方'!$F$90*H27+'直接配方'!$F$91*H28</x:f>
        <x:v>52.31067363520511</x:v>
      </x:c>
      <x:c r="I73" s="34" t="n">
        <x:f>'直接配方'!$F$86*I37+'直接配方'!$F$87*I38+'直接配方'!$F$88*I49+'直接配方'!$F$89*I52+'直接配方'!$F$90*I27+'直接配方'!$F$91*I28</x:f>
        <x:v>0</x:v>
      </x:c>
      <x:c r="J73" s="34" t="n">
        <x:f>'直接配方'!$F$86*J37+'直接配方'!$F$87*J38+'直接配方'!$F$88*J49+'直接配方'!$F$89*J52+'直接配方'!$F$90*J27+'直接配方'!$F$91*J28</x:f>
        <x:v>0</x:v>
      </x:c>
      <x:c r="K73" s="34" t="n">
        <x:f>'直接配方'!$F$86*K37+'直接配方'!$F$87*K38+'直接配方'!$F$88*K49+'直接配方'!$F$89*K52+'直接配方'!$F$90*K27+'直接配方'!$F$91*K28</x:f>
        <x:v>47.597342465070966</x:v>
      </x:c>
      <x:c r="L73" s="34" t="n">
        <x:f>'直接配方'!$F$86*L37+'直接配方'!$F$87*L38+'直接配方'!$F$88*L49+'直接配方'!$F$89*L52+'直接配方'!$F$90*L27+'直接配方'!$F$91*L28</x:f>
        <x:v>0</x:v>
      </x:c>
      <x:c r="M73" s="34" t="n">
        <x:f>'直接配方'!$F$86*M37+'直接配方'!$F$87*M38+'直接配方'!$F$88*M49+'直接配方'!$F$89*M52+'直接配方'!$F$90*M27+'直接配方'!$F$91*M28</x:f>
        <x:v>0</x:v>
      </x:c>
    </x:row>
    <x:row r="74" ht="40" customHeight="1">
      <x:c r="A74" s="22" t="str">
        <x:v>I16</x:v>
      </x:c>
      <x:c r="B74" s="22" t="str">
        <x:v>净水设备套件</x:v>
      </x:c>
      <x:c r="C74" s="22" t="str">
        <x:v>套（名义1m³/日）</x:v>
      </x:c>
      <x:c r="D74" s="34" t="n">
        <x:f>'直接配方'!$F$92*D37+'直接配方'!$F$93*D46+'直接配方'!$F$94*D48+'直接配方'!$F$95*D38+'直接配方'!$F$96*D51+'直接配方'!$F$97*D29+'直接配方'!$F$98*D27</x:f>
        <x:v>0.3021819456806107</x:v>
      </x:c>
      <x:c r="E74" s="34" t="n">
        <x:f>'直接配方'!$F$92*E37+'直接配方'!$F$93*E46+'直接配方'!$F$94*E48+'直接配方'!$F$95*E38+'直接配方'!$F$96*E51+'直接配方'!$F$97*E29+'直接配方'!$F$98*E27</x:f>
        <x:v>0</x:v>
      </x:c>
      <x:c r="F74" s="34" t="n">
        <x:f>'直接配方'!$F$92*F37+'直接配方'!$F$93*F46+'直接配方'!$F$94*F48+'直接配方'!$F$95*F38+'直接配方'!$F$96*F51+'直接配方'!$F$97*F29+'直接配方'!$F$98*F27</x:f>
        <x:v>0</x:v>
      </x:c>
      <x:c r="G74" s="34" t="n">
        <x:f>'直接配方'!$F$92*G37+'直接配方'!$F$93*G46+'直接配方'!$F$94*G48+'直接配方'!$F$95*G38+'直接配方'!$F$96*G51+'直接配方'!$F$97*G29+'直接配方'!$F$98*G27</x:f>
        <x:v>0</x:v>
      </x:c>
      <x:c r="H74" s="34" t="n">
        <x:f>'直接配方'!$F$92*H37+'直接配方'!$F$93*H46+'直接配方'!$F$94*H48+'直接配方'!$F$95*H38+'直接配方'!$F$96*H51+'直接配方'!$F$97*H29+'直接配方'!$F$98*H27</x:f>
        <x:v>23.58513072032323</x:v>
      </x:c>
      <x:c r="I74" s="34" t="n">
        <x:f>'直接配方'!$F$92*I37+'直接配方'!$F$93*I46+'直接配方'!$F$94*I48+'直接配方'!$F$95*I38+'直接配方'!$F$96*I51+'直接配方'!$F$97*I29+'直接配方'!$F$98*I27</x:f>
        <x:v>0</x:v>
      </x:c>
      <x:c r="J74" s="34" t="n">
        <x:f>'直接配方'!$F$92*J37+'直接配方'!$F$93*J46+'直接配方'!$F$94*J48+'直接配方'!$F$95*J38+'直接配方'!$F$96*J51+'直接配方'!$F$97*J29+'直接配方'!$F$98*J27</x:f>
        <x:v>0</x:v>
      </x:c>
      <x:c r="K74" s="34" t="n">
        <x:f>'直接配方'!$F$92*K37+'直接配方'!$F$93*K46+'直接配方'!$F$94*K48+'直接配方'!$F$95*K38+'直接配方'!$F$96*K51+'直接配方'!$F$97*K29+'直接配方'!$F$98*K27</x:f>
        <x:v>26.907630031198625</x:v>
      </x:c>
      <x:c r="L74" s="34" t="n">
        <x:f>'直接配方'!$F$92*L37+'直接配方'!$F$93*L46+'直接配方'!$F$94*L48+'直接配方'!$F$95*L38+'直接配方'!$F$96*L51+'直接配方'!$F$97*L29+'直接配方'!$F$98*L27</x:f>
        <x:v>0</x:v>
      </x:c>
      <x:c r="M74" s="34" t="n">
        <x:f>'直接配方'!$F$92*M37+'直接配方'!$F$93*M46+'直接配方'!$F$94*M48+'直接配方'!$F$95*M38+'直接配方'!$F$96*M51+'直接配方'!$F$97*M29+'直接配方'!$F$98*M27</x:f>
        <x:v>0</x:v>
      </x:c>
    </x:row>
    <x:row r="75" ht="40" customHeight="1">
      <x:c r="A75" s="22" t="str">
        <x:v>I17</x:v>
      </x:c>
      <x:c r="B75" s="22" t="str">
        <x:v>气体处理设备套件</x:v>
      </x:c>
      <x:c r="C75" s="22" t="str">
        <x:v>套（名义1kg CO₂/小时）</x:v>
      </x:c>
      <x:c r="D75" s="34" t="n">
        <x:f>'直接配方'!$F$99*D37+'直接配方'!$F$100*D38+'直接配方'!$F$101*D48+'直接配方'!$F$102*D11+'直接配方'!$F$103*D51+'直接配方'!$F$104*D29+'直接配方'!$F$105*D27</x:f>
        <x:v>0.3021819456806107</x:v>
      </x:c>
      <x:c r="E75" s="34" t="n">
        <x:f>'直接配方'!$F$99*E37+'直接配方'!$F$100*E38+'直接配方'!$F$101*E48+'直接配方'!$F$102*E11+'直接配方'!$F$103*E51+'直接配方'!$F$104*E29+'直接配方'!$F$105*E27</x:f>
        <x:v>0</x:v>
      </x:c>
      <x:c r="F75" s="34" t="n">
        <x:f>'直接配方'!$F$99*F37+'直接配方'!$F$100*F38+'直接配方'!$F$101*F48+'直接配方'!$F$102*F11+'直接配方'!$F$103*F51+'直接配方'!$F$104*F29+'直接配方'!$F$105*F27</x:f>
        <x:v>0</x:v>
      </x:c>
      <x:c r="G75" s="34" t="n">
        <x:f>'直接配方'!$F$99*G37+'直接配方'!$F$100*G38+'直接配方'!$F$101*G48+'直接配方'!$F$102*G11+'直接配方'!$F$103*G51+'直接配方'!$F$104*G29+'直接配方'!$F$105*G27</x:f>
        <x:v>0</x:v>
      </x:c>
      <x:c r="H75" s="34" t="n">
        <x:f>'直接配方'!$F$99*H37+'直接配方'!$F$100*H38+'直接配方'!$F$101*H48+'直接配方'!$F$102*H11+'直接配方'!$F$103*H51+'直接配方'!$F$104*H29+'直接配方'!$F$105*H27</x:f>
        <x:v>11.025537811313438</x:v>
      </x:c>
      <x:c r="I75" s="34" t="n">
        <x:f>'直接配方'!$F$99*I37+'直接配方'!$F$100*I38+'直接配方'!$F$101*I48+'直接配方'!$F$102*I11+'直接配方'!$F$103*I51+'直接配方'!$F$104*I29+'直接配方'!$F$105*I27</x:f>
        <x:v>0</x:v>
      </x:c>
      <x:c r="J75" s="34" t="n">
        <x:f>'直接配方'!$F$99*J37+'直接配方'!$F$100*J38+'直接配方'!$F$101*J48+'直接配方'!$F$102*J11+'直接配方'!$F$103*J51+'直接配方'!$F$104*J29+'直接配方'!$F$105*J27</x:f>
        <x:v>0</x:v>
      </x:c>
      <x:c r="K75" s="34" t="n">
        <x:f>'直接配方'!$F$99*K37+'直接配方'!$F$100*K38+'直接配方'!$F$101*K48+'直接配方'!$F$102*K11+'直接配方'!$F$103*K51+'直接配方'!$F$104*K29+'直接配方'!$F$105*K27</x:f>
        <x:v>10.050610211921214</x:v>
      </x:c>
      <x:c r="L75" s="34" t="n">
        <x:f>'直接配方'!$F$99*L37+'直接配方'!$F$100*L38+'直接配方'!$F$101*L48+'直接配方'!$F$102*L11+'直接配方'!$F$103*L51+'直接配方'!$F$104*L29+'直接配方'!$F$105*L27</x:f>
        <x:v>0</x:v>
      </x:c>
      <x:c r="M75" s="34" t="n">
        <x:f>'直接配方'!$F$99*M37+'直接配方'!$F$100*M38+'直接配方'!$F$101*M48+'直接配方'!$F$102*M11+'直接配方'!$F$103*M51+'直接配方'!$F$104*M29+'直接配方'!$F$105*M27</x:f>
        <x:v>0</x:v>
      </x:c>
    </x:row>
    <x:row r="76" ht="40" customHeight="1">
      <x:c r="A76" s="22" t="str">
        <x:v>I18</x:v>
      </x:c>
      <x:c r="B76" s="22" t="str">
        <x:v>居住/厂房围护构件套件</x:v>
      </x:c>
      <x:c r="C76" s="22" t="str">
        <x:v>m²围护面</x:v>
      </x:c>
      <x:c r="D76" s="34" t="n">
        <x:f>'直接配方'!$F$106*D37+'直接配方'!$F$107*D48+'直接配方'!$F$108*D50+'直接配方'!$F$109*D46+'直接配方'!$F$110*D51+'直接配方'!$F$111*D28</x:f>
        <x:v>0.12087277827224428</x:v>
      </x:c>
      <x:c r="E76" s="34" t="n">
        <x:f>'直接配方'!$F$106*E37+'直接配方'!$F$107*E48+'直接配方'!$F$108*E50+'直接配方'!$F$109*E46+'直接配方'!$F$110*E51+'直接配方'!$F$111*E28</x:f>
        <x:v>0</x:v>
      </x:c>
      <x:c r="F76" s="34" t="n">
        <x:f>'直接配方'!$F$106*F37+'直接配方'!$F$107*F48+'直接配方'!$F$108*F50+'直接配方'!$F$109*F46+'直接配方'!$F$110*F51+'直接配方'!$F$111*F28</x:f>
        <x:v>0</x:v>
      </x:c>
      <x:c r="G76" s="34" t="n">
        <x:f>'直接配方'!$F$106*G37+'直接配方'!$F$107*G48+'直接配方'!$F$108*G50+'直接配方'!$F$109*G46+'直接配方'!$F$110*G51+'直接配方'!$F$111*G28</x:f>
        <x:v>0</x:v>
      </x:c>
      <x:c r="H76" s="34" t="n">
        <x:f>'直接配方'!$F$106*H37+'直接配方'!$F$107*H48+'直接配方'!$F$108*H50+'直接配方'!$F$109*H46+'直接配方'!$F$110*H51+'直接配方'!$F$111*H28</x:f>
        <x:v>12.619024818825787</x:v>
      </x:c>
      <x:c r="I76" s="34" t="n">
        <x:f>'直接配方'!$F$106*I37+'直接配方'!$F$107*I48+'直接配方'!$F$108*I50+'直接配方'!$F$109*I46+'直接配方'!$F$110*I51+'直接配方'!$F$111*I28</x:f>
        <x:v>0</x:v>
      </x:c>
      <x:c r="J76" s="34" t="n">
        <x:f>'直接配方'!$F$106*J37+'直接配方'!$F$107*J48+'直接配方'!$F$108*J50+'直接配方'!$F$109*J46+'直接配方'!$F$110*J51+'直接配方'!$F$111*J28</x:f>
        <x:v>0</x:v>
      </x:c>
      <x:c r="K76" s="34" t="n">
        <x:f>'直接配方'!$F$106*K37+'直接配方'!$F$107*K48+'直接配方'!$F$108*K50+'直接配方'!$F$109*K46+'直接配方'!$F$110*K51+'直接配方'!$F$111*K28</x:f>
        <x:v>12.451018623637166</x:v>
      </x:c>
      <x:c r="L76" s="34" t="n">
        <x:f>'直接配方'!$F$106*L37+'直接配方'!$F$107*L48+'直接配方'!$F$108*L50+'直接配方'!$F$109*L46+'直接配方'!$F$110*L51+'直接配方'!$F$111*L28</x:f>
        <x:v>0</x:v>
      </x:c>
      <x:c r="M76" s="34" t="n">
        <x:f>'直接配方'!$F$106*M37+'直接配方'!$F$107*M48+'直接配方'!$F$108*M50+'直接配方'!$F$109*M46+'直接配方'!$F$110*M51+'直接配方'!$F$111*M28</x:f>
        <x:v>0</x:v>
      </x:c>
    </x:row>
    <x:row r="77" ht="40" customHeight="1">
      <x:c r="A77" s="22" t="str">
        <x:v>I19</x:v>
      </x:c>
      <x:c r="B77" s="22" t="str">
        <x:v>机械阀门套件</x:v>
      </x:c>
      <x:c r="C77" s="22" t="str">
        <x:v>件（示例小型阀）</x:v>
      </x:c>
      <x:c r="D77" s="34" t="n">
        <x:f>'直接配方'!$F$112*D37+'直接配方'!$F$113*D51+'直接配方'!$F$114*D28</x:f>
        <x:v>0.01813091674083664</x:v>
      </x:c>
      <x:c r="E77" s="34" t="n">
        <x:f>'直接配方'!$F$112*E37+'直接配方'!$F$113*E51+'直接配方'!$F$114*E28</x:f>
        <x:v>0</x:v>
      </x:c>
      <x:c r="F77" s="34" t="n">
        <x:f>'直接配方'!$F$112*F37+'直接配方'!$F$113*F51+'直接配方'!$F$114*F28</x:f>
        <x:v>0</x:v>
      </x:c>
      <x:c r="G77" s="34" t="n">
        <x:f>'直接配方'!$F$112*G37+'直接配方'!$F$113*G51+'直接配方'!$F$114*G28</x:f>
        <x:v>0</x:v>
      </x:c>
      <x:c r="H77" s="34" t="n">
        <x:f>'直接配方'!$F$112*H37+'直接配方'!$F$113*H51+'直接配方'!$F$114*H28</x:f>
        <x:v>0.4808381090799225</x:v>
      </x:c>
      <x:c r="I77" s="34" t="n">
        <x:f>'直接配方'!$F$112*I37+'直接配方'!$F$113*I51+'直接配方'!$F$114*I28</x:f>
        <x:v>0</x:v>
      </x:c>
      <x:c r="J77" s="34" t="n">
        <x:f>'直接配方'!$F$112*J37+'直接配方'!$F$113*J51+'直接配方'!$F$114*J28</x:f>
        <x:v>0</x:v>
      </x:c>
      <x:c r="K77" s="34" t="n">
        <x:f>'直接配方'!$F$112*K37+'直接配方'!$F$113*K51+'直接配方'!$F$114*K28</x:f>
        <x:v>0.4425633482455232</x:v>
      </x:c>
      <x:c r="L77" s="34" t="n">
        <x:f>'直接配方'!$F$112*L37+'直接配方'!$F$113*L51+'直接配方'!$F$114*L28</x:f>
        <x:v>0</x:v>
      </x:c>
      <x:c r="M77" s="34" t="n">
        <x:f>'直接配方'!$F$112*M37+'直接配方'!$F$113*M51+'直接配方'!$F$114*M28</x:f>
        <x:v>0</x:v>
      </x:c>
    </x:row>
    <x:row r="78" ht="40" customHeight="1">
      <x:c r="A78" s="22" t="str">
        <x:v>I20</x:v>
      </x:c>
      <x:c r="B78" s="22" t="str">
        <x:v>绝缘电缆</x:v>
      </x:c>
      <x:c r="C78" s="22" t="str">
        <x:v>kg</x:v>
      </x:c>
      <x:c r="D78" s="34" t="n">
        <x:f>'直接配方'!$F$115*D38+'直接配方'!$F$116*D46</x:f>
        <x:v>0</x:v>
      </x:c>
      <x:c r="E78" s="34" t="n">
        <x:f>'直接配方'!$F$115*E38+'直接配方'!$F$116*E46</x:f>
        <x:v>0</x:v>
      </x:c>
      <x:c r="F78" s="34" t="n">
        <x:f>'直接配方'!$F$115*F38+'直接配方'!$F$116*F46</x:f>
        <x:v>0</x:v>
      </x:c>
      <x:c r="G78" s="34" t="n">
        <x:f>'直接配方'!$F$115*G38+'直接配方'!$F$116*G46</x:f>
        <x:v>0</x:v>
      </x:c>
      <x:c r="H78" s="34" t="n">
        <x:f>'直接配方'!$F$115*H38+'直接配方'!$F$116*H46</x:f>
        <x:v>0.7405198696981314</x:v>
      </x:c>
      <x:c r="I78" s="34" t="n">
        <x:f>'直接配方'!$F$115*I38+'直接配方'!$F$116*I46</x:f>
        <x:v>0</x:v>
      </x:c>
      <x:c r="J78" s="34" t="n">
        <x:f>'直接配方'!$F$115*J38+'直接配方'!$F$116*J46</x:f>
        <x:v>0</x:v>
      </x:c>
      <x:c r="K78" s="34" t="n">
        <x:f>'直接配方'!$F$115*K38+'直接配方'!$F$116*K46</x:f>
        <x:v>0.8857679044697085</x:v>
      </x:c>
      <x:c r="L78" s="34" t="n">
        <x:f>'直接配方'!$F$115*L38+'直接配方'!$F$116*L46</x:f>
        <x:v>0</x:v>
      </x:c>
      <x:c r="M78" s="34" t="n">
        <x:f>'直接配方'!$F$115*M38+'直接配方'!$F$116*M46</x:f>
        <x:v>0</x:v>
      </x:c>
    </x:row>
    <x:row r="79" ht="40" customHeight="1">
      <x:c r="A79" s="22" t="str">
        <x:v>A01</x:v>
      </x:c>
      <x:c r="B79" s="22" t="str">
        <x:v>净水</x:v>
      </x:c>
      <x:c r="C79" s="22" t="str">
        <x:v>kg</x:v>
      </x:c>
      <x:c r="D79" s="34" t="n">
        <x:f>'直接配方'!$F$117*D32</x:f>
        <x:v>0</x:v>
      </x:c>
      <x:c r="E79" s="34" t="n">
        <x:f>'直接配方'!$F$117*E32</x:f>
        <x:v>0</x:v>
      </x:c>
      <x:c r="F79" s="34" t="n">
        <x:f>'直接配方'!$F$117*F32</x:f>
        <x:v>0</x:v>
      </x:c>
      <x:c r="G79" s="34" t="n">
        <x:f>'直接配方'!$F$117*G32</x:f>
        <x:v>0</x:v>
      </x:c>
      <x:c r="H79" s="34" t="n">
        <x:f>'直接配方'!$F$117*H32</x:f>
        <x:v>0</x:v>
      </x:c>
      <x:c r="I79" s="34" t="n">
        <x:f>'直接配方'!$F$117*I32</x:f>
        <x:v>0</x:v>
      </x:c>
      <x:c r="J79" s="34" t="n">
        <x:f>'直接配方'!$F$117*J32</x:f>
        <x:v>0</x:v>
      </x:c>
      <x:c r="K79" s="34" t="n">
        <x:f>'直接配方'!$F$117*K32</x:f>
        <x:v>0</x:v>
      </x:c>
      <x:c r="L79" s="34" t="n">
        <x:f>'直接配方'!$F$117*L32</x:f>
        <x:v>0</x:v>
      </x:c>
      <x:c r="M79" s="34" t="n">
        <x:f>'直接配方'!$F$117*M32</x:f>
        <x:v>0</x:v>
      </x:c>
    </x:row>
    <x:row r="80" ht="40" customHeight="1">
      <x:c r="A80" s="22" t="str">
        <x:v>A02</x:v>
      </x:c>
      <x:c r="B80" s="22" t="str">
        <x:v>无水硝酸钙肥料当量</x:v>
      </x:c>
      <x:c r="C80" s="22" t="str">
        <x:v>kg</x:v>
      </x:c>
      <x:c r="D80" s="34" t="n">
        <x:f>'直接配方'!$F$118*D13+'直接配方'!$F$119*D54</x:f>
        <x:v>1.3656253428080394</x:v>
      </x:c>
      <x:c r="E80" s="34" t="n">
        <x:f>'直接配方'!$F$118*E13+'直接配方'!$F$119*E54+'直接副产出'!$D$25</x:f>
        <x:v>0.26820691588557216</x:v>
      </x:c>
      <x:c r="F80" s="34" t="n">
        <x:f>'直接配方'!$F$118*F13+'直接配方'!$F$119*F54</x:f>
        <x:v>0</x:v>
      </x:c>
      <x:c r="G80" s="34" t="n">
        <x:f>'直接配方'!$F$118*G13+'直接配方'!$F$119*G54</x:f>
        <x:v>0</x:v>
      </x:c>
      <x:c r="H80" s="34" t="n">
        <x:f>'直接配方'!$F$118*H13+'直接配方'!$F$119*H54+'直接副产出'!$D$26</x:f>
        <x:v>0.32936996453079476</x:v>
      </x:c>
      <x:c r="I80" s="34" t="n">
        <x:f>'直接配方'!$F$118*I13+'直接配方'!$F$119*I54</x:f>
        <x:v>0</x:v>
      </x:c>
      <x:c r="J80" s="34" t="n">
        <x:f>'直接配方'!$F$118*J13+'直接配方'!$F$119*J54</x:f>
        <x:v>0</x:v>
      </x:c>
      <x:c r="K80" s="34" t="n">
        <x:f>'直接配方'!$F$118*K13+'直接配方'!$F$119*K54</x:f>
        <x:v>0.2925112441037017</x:v>
      </x:c>
      <x:c r="L80" s="34" t="n">
        <x:f>'直接配方'!$F$118*L13+'直接配方'!$F$119*L54</x:f>
        <x:v>0</x:v>
      </x:c>
      <x:c r="M80" s="34" t="n">
        <x:f>'直接配方'!$F$118*M13+'直接配方'!$F$119*M54</x:f>
        <x:v>0</x:v>
      </x:c>
    </x:row>
    <x:row r="81" ht="40" customHeight="1">
      <x:c r="A81" s="22" t="str">
        <x:v>A03</x:v>
      </x:c>
      <x:c r="B81" s="22" t="str">
        <x:v>磷酸一铵肥料当量</x:v>
      </x:c>
      <x:c r="C81" s="22" t="str">
        <x:v>kg</x:v>
      </x:c>
      <x:c r="D81" s="34" t="n">
        <x:f>'直接配方'!$F$120*D53+'直接配方'!$F$121*D56</x:f>
        <x:v>1.2175613996957184</x:v>
      </x:c>
      <x:c r="E81" s="34" t="n">
        <x:f>'直接配方'!$F$120*E53+'直接配方'!$F$121*E56</x:f>
        <x:v>0</x:v>
      </x:c>
      <x:c r="F81" s="34" t="n">
        <x:f>'直接配方'!$F$120*F53+'直接配方'!$F$121*F56</x:f>
        <x:v>0</x:v>
      </x:c>
      <x:c r="G81" s="34" t="n">
        <x:f>'直接配方'!$F$120*G53+'直接配方'!$F$121*G56</x:f>
        <x:v>0</x:v>
      </x:c>
      <x:c r="H81" s="34" t="n">
        <x:f>'直接配方'!$F$120*H53+'直接配方'!$F$121*H56</x:f>
        <x:v>0</x:v>
      </x:c>
      <x:c r="I81" s="34" t="n">
        <x:f>'直接配方'!$F$120*I53+'直接配方'!$F$121*I56</x:f>
        <x:v>0</x:v>
      </x:c>
      <x:c r="J81" s="34" t="n">
        <x:f>'直接配方'!$F$120*J53+'直接配方'!$F$121*J56</x:f>
        <x:v>0.05797580236180541</x:v>
      </x:c>
      <x:c r="K81" s="34" t="n">
        <x:f>'直接配方'!$F$120*K53+'直接配方'!$F$121*K56</x:f>
        <x:v>0.20863725277113673</x:v>
      </x:c>
      <x:c r="L81" s="34" t="n">
        <x:f>'直接配方'!$F$120*L53+'直接配方'!$F$121*L56</x:f>
        <x:v>0</x:v>
      </x:c>
      <x:c r="M81" s="34" t="n">
        <x:f>'直接配方'!$F$120*M53+'直接配方'!$F$121*M56</x:f>
        <x:v>2.4945881330145623</x:v>
      </x:c>
    </x:row>
    <x:row r="82" ht="40" customHeight="1">
      <x:c r="A82" s="22" t="str">
        <x:v>A04</x:v>
      </x:c>
      <x:c r="B82" s="22" t="str">
        <x:v>硫酸钾肥料</x:v>
      </x:c>
      <x:c r="C82" s="22" t="str">
        <x:v>kg</x:v>
      </x:c>
      <x:c r="D82" s="34" t="n">
        <x:f>'直接配方'!$F$122*D16+'直接配方'!$F$123*D55</x:f>
        <x:v>0.4822326286068452</x:v>
      </x:c>
      <x:c r="E82" s="34" t="n">
        <x:f>'直接配方'!$F$122*E16+'直接配方'!$F$123*E55</x:f>
        <x:v>0</x:v>
      </x:c>
      <x:c r="F82" s="34" t="n">
        <x:f>'直接配方'!$F$122*F16+'直接配方'!$F$123*F55</x:f>
        <x:v>0</x:v>
      </x:c>
      <x:c r="G82" s="34" t="n">
        <x:f>'直接配方'!$F$122*G16+'直接配方'!$F$123*G55</x:f>
        <x:v>0</x:v>
      </x:c>
      <x:c r="H82" s="34" t="n">
        <x:f>'直接配方'!$F$122*H16+'直接配方'!$F$123*H55</x:f>
        <x:v>0</x:v>
      </x:c>
      <x:c r="I82" s="34" t="n">
        <x:f>'直接配方'!$F$122*I16+'直接配方'!$F$123*I55+'直接副产出'!$D$27</x:f>
        <x:v>0.41845143814705144</x:v>
      </x:c>
      <x:c r="J82" s="34" t="n">
        <x:f>'直接配方'!$F$122*J16+'直接配方'!$F$123*J55</x:f>
        <x:v>0</x:v>
      </x:c>
      <x:c r="K82" s="34" t="n">
        <x:f>'直接配方'!$F$122*K16+'直接配方'!$F$123*K55</x:f>
        <x:v>0</x:v>
      </x:c>
      <x:c r="L82" s="34" t="n">
        <x:f>'直接配方'!$F$122*L16+'直接配方'!$F$123*L55</x:f>
        <x:v>0</x:v>
      </x:c>
      <x:c r="M82" s="34" t="n">
        <x:f>'直接配方'!$F$122*M16+'直接配方'!$F$123*M55</x:f>
        <x:v>0</x:v>
      </x:c>
    </x:row>
    <x:row r="83" ht="40" customHeight="1">
      <x:c r="A83" s="22" t="str">
        <x:v>A05</x:v>
      </x:c>
      <x:c r="B83" s="22" t="str">
        <x:v>七水硫酸镁肥料</x:v>
      </x:c>
      <x:c r="C83" s="22" t="str">
        <x:v>kg</x:v>
      </x:c>
      <x:c r="D83" s="34" t="n">
        <x:f>'直接配方'!$F$124*D17+'直接配方'!$F$125*D32</x:f>
        <x:v>0</x:v>
      </x:c>
      <x:c r="E83" s="34" t="n">
        <x:f>'直接配方'!$F$124*E17+'直接配方'!$F$125*E32</x:f>
        <x:v>0</x:v>
      </x:c>
      <x:c r="F83" s="34" t="n">
        <x:f>'直接配方'!$F$124*F17+'直接配方'!$F$125*F32</x:f>
        <x:v>0</x:v>
      </x:c>
      <x:c r="G83" s="34" t="n">
        <x:f>'直接配方'!$F$124*G17+'直接配方'!$F$125*G32</x:f>
        <x:v>0</x:v>
      </x:c>
      <x:c r="H83" s="34" t="n">
        <x:f>'直接配方'!$F$124*H17+'直接配方'!$F$125*H32</x:f>
        <x:v>0</x:v>
      </x:c>
      <x:c r="I83" s="34" t="n">
        <x:f>'直接配方'!$F$124*I17+'直接配方'!$F$125*I32</x:f>
        <x:v>0</x:v>
      </x:c>
      <x:c r="J83" s="34" t="n">
        <x:f>'直接配方'!$F$124*J17+'直接配方'!$F$125*J32</x:f>
        <x:v>0</x:v>
      </x:c>
      <x:c r="K83" s="34" t="n">
        <x:f>'直接配方'!$F$124*K17+'直接配方'!$F$125*K32</x:f>
        <x:v>0</x:v>
      </x:c>
      <x:c r="L83" s="34" t="n">
        <x:f>'直接配方'!$F$124*L17+'直接配方'!$F$125*L32</x:f>
        <x:v>0</x:v>
      </x:c>
      <x:c r="M83" s="34" t="n">
        <x:f>'直接配方'!$F$124*M17+'直接配方'!$F$125*M32</x:f>
        <x:v>0</x:v>
      </x:c>
    </x:row>
    <x:row r="84" ht="40" customHeight="1">
      <x:c r="A84" s="22" t="str">
        <x:v>A06</x:v>
      </x:c>
      <x:c r="B84" s="22" t="str">
        <x:v>石膏钙硫肥</x:v>
      </x:c>
      <x:c r="C84" s="22" t="str">
        <x:v>kg</x:v>
      </x:c>
      <x:c r="D84" s="34" t="n">
        <x:f>'直接配方'!$F$126*D26</x:f>
        <x:v>0</x:v>
      </x:c>
      <x:c r="E84" s="34" t="n">
        <x:f>'直接配方'!$F$126*E26</x:f>
        <x:v>0</x:v>
      </x:c>
      <x:c r="F84" s="34" t="n">
        <x:f>'直接配方'!$F$126*F26</x:f>
        <x:v>0</x:v>
      </x:c>
      <x:c r="G84" s="34" t="n">
        <x:f>'直接配方'!$F$126*G26</x:f>
        <x:v>0</x:v>
      </x:c>
      <x:c r="H84" s="34" t="n">
        <x:f>'直接配方'!$F$126*H26</x:f>
        <x:v>0</x:v>
      </x:c>
      <x:c r="I84" s="34" t="n">
        <x:f>'直接配方'!$F$126*I26</x:f>
        <x:v>0</x:v>
      </x:c>
      <x:c r="J84" s="34" t="n">
        <x:f>'直接配方'!$F$126*J26</x:f>
        <x:v>0</x:v>
      </x:c>
      <x:c r="K84" s="34" t="n">
        <x:f>'直接配方'!$F$126*K26</x:f>
        <x:v>0</x:v>
      </x:c>
      <x:c r="L84" s="34" t="n">
        <x:f>'直接配方'!$F$126*L26</x:f>
        <x:v>0</x:v>
      </x:c>
      <x:c r="M84" s="34" t="n">
        <x:f>'直接配方'!$F$126*M26</x:f>
        <x:v>0</x:v>
      </x:c>
    </x:row>
    <x:row r="85" ht="40" customHeight="1">
      <x:c r="A85" s="22" t="str">
        <x:v>A07</x:v>
      </x:c>
      <x:c r="B85" s="22" t="str">
        <x:v>小麦可食干物质</x:v>
      </x:c>
      <x:c r="C85" s="22" t="str">
        <x:v>kg可食干物质</x:v>
      </x:c>
      <x:c r="D85" s="34" t="n">
        <x:f>'直接配方'!$F$127*D7+'直接配方'!$F$128*D32+'直接配方'!$F$129*D80+'直接配方'!$F$130*D81+'直接配方'!$F$131*D82+'直接配方'!$F$132*D83+'直接配方'!$F$133*D31</x:f>
        <x:v>0.4943444386842685</x:v>
      </x:c>
      <x:c r="E85" s="34" t="n">
        <x:f>'直接配方'!$F$127*E7+'直接配方'!$F$128*E32+'直接配方'!$F$129*E80+'直接配方'!$F$130*E81+'直接配方'!$F$131*E82+'直接配方'!$F$132*E83+'直接配方'!$F$133*E31</x:f>
        <x:v>0.07746994392001391</x:v>
      </x:c>
      <x:c r="F85" s="34" t="n">
        <x:f>'直接配方'!$F$127*F7+'直接配方'!$F$128*F32+'直接配方'!$F$129*F80+'直接配方'!$F$130*F81+'直接配方'!$F$131*F82+'直接配方'!$F$132*F83+'直接配方'!$F$133*F31</x:f>
        <x:v>0</x:v>
      </x:c>
      <x:c r="G85" s="34" t="n">
        <x:f>'直接配方'!$F$127*G7+'直接配方'!$F$128*G32+'直接配方'!$F$129*G80+'直接配方'!$F$130*G81+'直接配方'!$F$131*G82+'直接配方'!$F$132*G83+'直接配方'!$F$133*G31</x:f>
        <x:v>0</x:v>
      </x:c>
      <x:c r="H85" s="34" t="n">
        <x:f>'直接配方'!$F$127*H7+'直接配方'!$F$128*H32+'直接配方'!$F$129*H80+'直接配方'!$F$130*H81+'直接配方'!$F$131*H82+'直接配方'!$F$132*H83+'直接配方'!$F$133*H31</x:f>
        <x:v>0.09513652023806839</x:v>
      </x:c>
      <x:c r="I85" s="34" t="n">
        <x:f>'直接配方'!$F$127*I7+'直接配方'!$F$128*I32+'直接配方'!$F$129*I80+'直接配方'!$F$130*I81+'直接配方'!$F$131*I82+'直接配方'!$F$132*I83+'直接配方'!$F$133*I31</x:f>
        <x:v>0.05180429803172656</x:v>
      </x:c>
      <x:c r="J85" s="34" t="n">
        <x:f>'直接配方'!$F$127*J7+'直接配方'!$F$128*J32+'直接配方'!$F$129*J80+'直接配方'!$F$130*J81+'直接配方'!$F$131*J82+'直接配方'!$F$132*J83+'直接配方'!$F$133*J31</x:f>
        <x:v>0.001913767580455771</x:v>
      </x:c>
      <x:c r="K85" s="34" t="n">
        <x:f>'直接配方'!$F$127*K7+'直接配方'!$F$128*K32+'直接配方'!$F$129*K80+'直接配方'!$F$130*K81+'直接配方'!$F$131*K82+'直接配方'!$F$132*K83+'直接配方'!$F$133*K31</x:f>
        <x:v>0.09137716855857787</x:v>
      </x:c>
      <x:c r="L85" s="34" t="n">
        <x:f>'直接配方'!$F$127*L7+'直接配方'!$F$128*L32+'直接配方'!$F$129*L80+'直接配方'!$F$130*L81+'直接配方'!$F$131*L82+'直接配方'!$F$132*L83+'直接配方'!$F$133*L31</x:f>
        <x:v>0</x:v>
      </x:c>
      <x:c r="M85" s="34" t="n">
        <x:f>'直接配方'!$F$127*M7+'直接配方'!$F$128*M32+'直接配方'!$F$129*M80+'直接配方'!$F$130*M81+'直接配方'!$F$131*M82+'直接配方'!$F$132*M83+'直接配方'!$F$133*M31</x:f>
        <x:v>0.08234576670038672</x:v>
      </x:c>
    </x:row>
    <x:row r="86" ht="40" customHeight="1">
      <x:c r="A86" s="22" t="str">
        <x:v>A08</x:v>
      </x:c>
      <x:c r="B86" s="22" t="str">
        <x:v>大豆可食干物质</x:v>
      </x:c>
      <x:c r="C86" s="22" t="str">
        <x:v>kg可食干物质</x:v>
      </x:c>
      <x:c r="D86" s="34" t="n">
        <x:f>'直接配方'!$F$134*D7+'直接配方'!$F$135*D32+'直接配方'!$F$136*D80+'直接配方'!$F$137*D81+'直接配方'!$F$138*D82+'直接配方'!$F$139*D83+'直接配方'!$F$140*D31</x:f>
        <x:v>1.1886300560207623</x:v>
      </x:c>
      <x:c r="E86" s="34" t="n">
        <x:f>'直接配方'!$F$134*E7+'直接配方'!$F$135*E32+'直接配方'!$F$136*E80+'直接配方'!$F$137*E81+'直接配方'!$F$138*E82+'直接配方'!$F$139*E83+'直接配方'!$F$140*E31</x:f>
        <x:v>0.2053513449577271</x:v>
      </x:c>
      <x:c r="F86" s="34" t="n">
        <x:f>'直接配方'!$F$134*F7+'直接配方'!$F$135*F32+'直接配方'!$F$136*F80+'直接配方'!$F$137*F81+'直接配方'!$F$138*F82+'直接配方'!$F$139*F83+'直接配方'!$F$140*F31</x:f>
        <x:v>0</x:v>
      </x:c>
      <x:c r="G86" s="34" t="n">
        <x:f>'直接配方'!$F$134*G7+'直接配方'!$F$135*G32+'直接配方'!$F$136*G80+'直接配方'!$F$137*G81+'直接配方'!$F$138*G82+'直接配方'!$F$139*G83+'直接配方'!$F$140*G31</x:f>
        <x:v>0</x:v>
      </x:c>
      <x:c r="H86" s="34" t="n">
        <x:f>'直接配方'!$F$134*H7+'直接配方'!$F$135*H32+'直接配方'!$F$136*H80+'直接配方'!$F$137*H81+'直接配方'!$F$138*H82+'直接配方'!$F$139*H83+'直接配方'!$F$140*H31</x:f>
        <x:v>0.2521805412129419</x:v>
      </x:c>
      <x:c r="I86" s="34" t="n">
        <x:f>'直接配方'!$F$134*I7+'直接配方'!$F$135*I32+'直接配方'!$F$136*I80+'直接配方'!$F$137*I81+'直接配方'!$F$138*I82+'直接配方'!$F$139*I83+'直接配方'!$F$140*I31</x:f>
        <x:v>0.06527341551997547</x:v>
      </x:c>
      <x:c r="J86" s="34" t="n">
        <x:f>'直接配方'!$F$134*J7+'直接配方'!$F$135*J32+'直接配方'!$F$136*J80+'直接配方'!$F$137*J81+'直接配方'!$F$138*J82+'直接配方'!$F$139*J83+'直接配方'!$F$140*J31</x:f>
        <x:v>0.0032294827920191136</x:v>
      </x:c>
      <x:c r="K86" s="34" t="n">
        <x:f>'直接配方'!$F$134*K7+'直接配方'!$F$135*K32+'直接配方'!$F$136*K80+'直接配方'!$F$137*K81+'直接配方'!$F$138*K82+'直接配方'!$F$139*K83+'直接配方'!$F$140*K31</x:f>
        <x:v>0.23558176269008357</x:v>
      </x:c>
      <x:c r="L86" s="34" t="n">
        <x:f>'直接配方'!$F$134*L7+'直接配方'!$F$135*L32+'直接配方'!$F$136*L80+'直接配方'!$F$137*L81+'直接配方'!$F$138*L82+'直接配方'!$F$139*L83+'直接配方'!$F$140*L31</x:f>
        <x:v>0</x:v>
      </x:c>
      <x:c r="M86" s="34" t="n">
        <x:f>'直接配方'!$F$134*M7+'直接配方'!$F$135*M32+'直接配方'!$F$136*M80+'直接配方'!$F$137*M81+'直接配方'!$F$138*M82+'直接配方'!$F$139*M83+'直接配方'!$F$140*M31</x:f>
        <x:v>0.13895848130690258</x:v>
      </x:c>
    </x:row>
    <x:row r="87" ht="40" customHeight="1">
      <x:c r="A87" s="22" t="str">
        <x:v>A09</x:v>
      </x:c>
      <x:c r="B87" s="22" t="str">
        <x:v>马铃薯可食干物质</x:v>
      </x:c>
      <x:c r="C87" s="22" t="str">
        <x:v>kg可食干物质</x:v>
      </x:c>
      <x:c r="D87" s="34" t="n">
        <x:f>'直接配方'!$F$141*D7+'直接配方'!$F$142*D32+'直接配方'!$F$143*D80+'直接配方'!$F$144*D81+'直接配方'!$F$145*D82+'直接配方'!$F$146*D83+'直接配方'!$F$147*D31</x:f>
        <x:v>0.26111013804787886</x:v>
      </x:c>
      <x:c r="E87" s="34" t="n">
        <x:f>'直接配方'!$F$141*E7+'直接配方'!$F$142*E32+'直接配方'!$F$143*E80+'直接配方'!$F$144*E81+'直接配方'!$F$145*E82+'直接配方'!$F$146*E83+'直接配方'!$F$147*E31</x:f>
        <x:v>0.038103488924055656</x:v>
      </x:c>
      <x:c r="F87" s="34" t="n">
        <x:f>'直接配方'!$F$141*F7+'直接配方'!$F$142*F32+'直接配方'!$F$143*F80+'直接配方'!$F$144*F81+'直接配方'!$F$145*F82+'直接配方'!$F$146*F83+'直接配方'!$F$147*F31</x:f>
        <x:v>0</x:v>
      </x:c>
      <x:c r="G87" s="34" t="n">
        <x:f>'直接配方'!$F$141*G7+'直接配方'!$F$142*G32+'直接配方'!$F$143*G80+'直接配方'!$F$144*G81+'直接配方'!$F$145*G82+'直接配方'!$F$146*G83+'直接配方'!$F$147*G31</x:f>
        <x:v>0</x:v>
      </x:c>
      <x:c r="H87" s="34" t="n">
        <x:f>'直接配方'!$F$141*H7+'直接配方'!$F$142*H32+'直接配方'!$F$143*H80+'直接配方'!$F$144*H81+'直接配方'!$F$145*H82+'直接配方'!$F$146*H83+'直接配方'!$F$147*H31</x:f>
        <x:v>0.046792770999127174</x:v>
      </x:c>
      <x:c r="I87" s="34" t="n">
        <x:f>'直接配方'!$F$141*I7+'直接配方'!$F$142*I32+'直接配方'!$F$143*I80+'直接配方'!$F$144*I81+'直接配方'!$F$145*I82+'直接配方'!$F$146*I83+'直接配方'!$F$147*I31</x:f>
        <x:v>0.03729909458284311</x:v>
      </x:c>
      <x:c r="J87" s="34" t="n">
        <x:f>'直接配方'!$F$141*J7+'直接配方'!$F$142*J32+'直接配方'!$F$143*J80+'直接配方'!$F$144*J81+'直接配方'!$F$145*J82+'直接配方'!$F$146*J83+'直接配方'!$F$147*J31</x:f>
        <x:v>0.0011482605482734626</x:v>
      </x:c>
      <x:c r="K87" s="34" t="n">
        <x:f>'直接配方'!$F$141*K7+'直接配方'!$F$142*K32+'直接配方'!$F$143*K80+'直接配方'!$F$144*K81+'直接配方'!$F$145*K82+'直接配方'!$F$146*K83+'直接配方'!$F$147*K31</x:f>
        <x:v>0.04568858427928894</x:v>
      </x:c>
      <x:c r="L87" s="34" t="n">
        <x:f>'直接配方'!$F$141*L7+'直接配方'!$F$142*L32+'直接配方'!$F$143*L80+'直接配方'!$F$144*L81+'直接配方'!$F$145*L82+'直接配方'!$F$146*L83+'直接配方'!$F$147*L31</x:f>
        <x:v>0</x:v>
      </x:c>
      <x:c r="M87" s="34" t="n">
        <x:f>'直接配方'!$F$141*M7+'直接配方'!$F$142*M32+'直接配方'!$F$143*M80+'直接配方'!$F$144*M81+'直接配方'!$F$145*M82+'直接配方'!$F$146*M83+'直接配方'!$F$147*M31</x:f>
        <x:v>0.04940746002023203</x:v>
      </x:c>
    </x:row>
    <x:row r="88" ht="40" customHeight="1">
      <x:c r="A88" s="22" t="str">
        <x:v>A10</x:v>
      </x:c>
      <x:c r="B88" s="22" t="str">
        <x:v>叶菜可食干物质</x:v>
      </x:c>
      <x:c r="C88" s="22" t="str">
        <x:v>kg可食干物质</x:v>
      </x:c>
      <x:c r="D88" s="34" t="n">
        <x:f>'直接配方'!$F$148*D7+'直接配方'!$F$149*D32+'直接配方'!$F$150*D80+'直接配方'!$F$151*D81+'直接配方'!$F$152*D82+'直接配方'!$F$153*D83+'直接配方'!$F$154*D31</x:f>
        <x:v>0.39789638119983567</x:v>
      </x:c>
      <x:c r="E88" s="34" t="n">
        <x:f>'直接配方'!$F$148*E7+'直接配方'!$F$149*E32+'直接配方'!$F$150*E80+'直接配方'!$F$151*E81+'直接配方'!$F$152*E82+'直接配方'!$F$153*E83+'直接配方'!$F$154*E31</x:f>
        <x:v>0.060507842404368795</x:v>
      </x:c>
      <x:c r="F88" s="34" t="n">
        <x:f>'直接配方'!$F$148*F7+'直接配方'!$F$149*F32+'直接配方'!$F$150*F80+'直接配方'!$F$151*F81+'直接配方'!$F$152*F82+'直接配方'!$F$153*F83+'直接配方'!$F$154*F31</x:f>
        <x:v>0</x:v>
      </x:c>
      <x:c r="G88" s="34" t="n">
        <x:f>'直接配方'!$F$148*G7+'直接配方'!$F$149*G32+'直接配方'!$F$150*G80+'直接配方'!$F$151*G81+'直接配方'!$F$152*G82+'直接配方'!$F$153*G83+'直接配方'!$F$154*G31</x:f>
        <x:v>0</x:v>
      </x:c>
      <x:c r="H88" s="34" t="n">
        <x:f>'直接配方'!$F$148*H7+'直接配方'!$F$149*H32+'直接配方'!$F$150*H80+'直接配方'!$F$151*H81+'直接配方'!$F$152*H82+'直接配方'!$F$153*H83+'直接配方'!$F$154*H31</x:f>
        <x:v>0.07430630877193554</x:v>
      </x:c>
      <x:c r="I88" s="34" t="n">
        <x:f>'直接配方'!$F$148*I7+'直接配方'!$F$149*I32+'直接配方'!$F$150*I80+'直接配方'!$F$151*I81+'直接配方'!$F$152*I82+'直接配方'!$F$153*I83+'直接配方'!$F$154*I31</x:f>
        <x:v>0.054851609680651656</x:v>
      </x:c>
      <x:c r="J88" s="34" t="n">
        <x:f>'直接配方'!$F$148*J7+'直接配方'!$F$149*J32+'直接配方'!$F$150*J80+'直接配方'!$F$151*J81+'直接配方'!$F$152*J82+'直接配方'!$F$153*J83+'直接配方'!$F$154*J31</x:f>
        <x:v>0.0012664638400074956</x:v>
      </x:c>
      <x:c r="K88" s="34" t="n">
        <x:f>'直接配方'!$F$148*K7+'直接配方'!$F$149*K32+'直接配方'!$F$150*K80+'直接配方'!$F$151*K81+'直接配方'!$F$152*K82+'直接配方'!$F$153*K83+'直接配方'!$F$154*K31</x:f>
        <x:v>0.07054854925478439</x:v>
      </x:c>
      <x:c r="L88" s="34" t="n">
        <x:f>'直接配方'!$F$148*L7+'直接配方'!$F$149*L32+'直接配方'!$F$150*L80+'直接配方'!$F$151*L81+'直接配方'!$F$152*L82+'直接配方'!$F$153*L83+'直接配方'!$F$154*L31</x:f>
        <x:v>0</x:v>
      </x:c>
      <x:c r="M88" s="34" t="n">
        <x:f>'直接配方'!$F$148*M7+'直接配方'!$F$149*M32+'直接配方'!$F$150*M80+'直接配方'!$F$151*M81+'直接配方'!$F$152*M82+'直接配方'!$F$153*M83+'直接配方'!$F$154*M31</x:f>
        <x:v>0.05449352208113828</x:v>
      </x:c>
    </x:row>
    <x:row r="89" ht="40" customHeight="1">
      <x:c r="A89" s="22" t="str">
        <x:v>A11</x:v>
      </x:c>
      <x:c r="B89" s="22" t="str">
        <x:v>循环水培栽培模块</x:v>
      </x:c>
      <x:c r="C89" s="22" t="str">
        <x:v>m²栽培面积</x:v>
      </x:c>
      <x:c r="D89" s="34" t="n">
        <x:f>'直接配方'!$F$155*D37+'直接配方'!$F$156*D46+'直接配方'!$F$157*D50+'直接配方'!$F$158*D69+'直接配方'!$F$159*D27</x:f>
        <x:v>0.006043638913612214</x:v>
      </x:c>
      <x:c r="E89" s="34" t="n">
        <x:f>'直接配方'!$F$155*E37+'直接配方'!$F$156*E46+'直接配方'!$F$157*E50+'直接配方'!$F$158*E69+'直接配方'!$F$159*E27</x:f>
        <x:v>0</x:v>
      </x:c>
      <x:c r="F89" s="34" t="n">
        <x:f>'直接配方'!$F$155*F37+'直接配方'!$F$156*F46+'直接配方'!$F$157*F50+'直接配方'!$F$158*F69+'直接配方'!$F$159*F27</x:f>
        <x:v>0</x:v>
      </x:c>
      <x:c r="G89" s="34" t="n">
        <x:f>'直接配方'!$F$155*G37+'直接配方'!$F$156*G46+'直接配方'!$F$157*G50+'直接配方'!$F$158*G69+'直接配方'!$F$159*G27</x:f>
        <x:v>0</x:v>
      </x:c>
      <x:c r="H89" s="34" t="n">
        <x:f>'直接配方'!$F$155*H37+'直接配方'!$F$156*H46+'直接配方'!$F$157*H50+'直接配方'!$F$158*H69+'直接配方'!$F$159*H27</x:f>
        <x:v>10.478647718521092</x:v>
      </x:c>
      <x:c r="I89" s="34" t="n">
        <x:f>'直接配方'!$F$155*I37+'直接配方'!$F$156*I46+'直接配方'!$F$157*I50+'直接配方'!$F$158*I69+'直接配方'!$F$159*I27</x:f>
        <x:v>0</x:v>
      </x:c>
      <x:c r="J89" s="34" t="n">
        <x:f>'直接配方'!$F$155*J37+'直接配方'!$F$156*J46+'直接配方'!$F$157*J50+'直接配方'!$F$158*J69+'直接配方'!$F$159*J27</x:f>
        <x:v>0</x:v>
      </x:c>
      <x:c r="K89" s="34" t="n">
        <x:f>'直接配方'!$F$155*K37+'直接配方'!$F$156*K46+'直接配方'!$F$157*K50+'直接配方'!$F$158*K69+'直接配方'!$F$159*K27</x:f>
        <x:v>12.732952493751373</x:v>
      </x:c>
      <x:c r="L89" s="34" t="n">
        <x:f>'直接配方'!$F$155*L37+'直接配方'!$F$156*L46+'直接配方'!$F$157*L50+'直接配方'!$F$158*L69+'直接配方'!$F$159*L27</x:f>
        <x:v>0</x:v>
      </x:c>
      <x:c r="M89" s="34" t="n">
        <x:f>'直接配方'!$F$155*M37+'直接配方'!$F$156*M46+'直接配方'!$F$157*M50+'直接配方'!$F$158*M69+'直接配方'!$F$159*M27</x:f>
        <x:v>0</x:v>
      </x:c>
    </x:row>
    <x:row r="90" ht="40" customHeight="1">
      <x:c r="A90" s="22" t="str">
        <x:v>M_CELL</x:v>
      </x:c>
      <x:c r="B90" s="22" t="str">
        <x:v>晶硅电池片组</x:v>
      </x:c>
      <x:c r="C90" s="22" t="str">
        <x:v>组/m²组件</x:v>
      </x:c>
      <x:c r="D90" s="34" t="n">
        <x:f>'直接配方'!$F$160*D44+'直接配方'!$F$161*D41+'直接配方'!$F$162*D40+'直接配方'!$F$163*D23+'直接配方'!$F$164*D15+'直接配方'!$F$165*D38+'直接配方'!$F$166*D30</x:f>
        <x:v>1.2890927564780337</x:v>
      </x:c>
      <x:c r="E90" s="34" t="n">
        <x:f>'直接配方'!$F$160*E44+'直接配方'!$F$161*E41+'直接配方'!$F$162*E40+'直接配方'!$F$163*E23+'直接配方'!$F$164*E15+'直接配方'!$F$165*E38+'直接配方'!$F$166*E30</x:f>
        <x:v>0.02446575494774294</x:v>
      </x:c>
      <x:c r="F90" s="34" t="n">
        <x:f>'直接配方'!$F$160*F44+'直接配方'!$F$161*F41+'直接配方'!$F$162*F40+'直接配方'!$F$163*F23+'直接配方'!$F$164*F15+'直接配方'!$F$165*F38+'直接配方'!$F$166*F30</x:f>
        <x:v>0</x:v>
      </x:c>
      <x:c r="G90" s="34" t="n">
        <x:f>'直接配方'!$F$160*G44+'直接配方'!$F$161*G41+'直接配方'!$F$162*G40+'直接配方'!$F$163*G23+'直接配方'!$F$164*G15+'直接配方'!$F$165*G38+'直接配方'!$F$166*G30</x:f>
        <x:v>0</x:v>
      </x:c>
      <x:c r="H90" s="34" t="n">
        <x:f>'直接配方'!$F$160*H44+'直接配方'!$F$161*H41+'直接配方'!$F$162*H40+'直接配方'!$F$163*H23+'直接配方'!$F$164*H15+'直接配方'!$F$165*H38+'直接配方'!$F$166*H30</x:f>
        <x:v>1.6812217098314952</x:v>
      </x:c>
      <x:c r="I90" s="34" t="n">
        <x:f>'直接配方'!$F$160*I44+'直接配方'!$F$161*I41+'直接配方'!$F$162*I40+'直接配方'!$F$163*I23+'直接配方'!$F$164*I15+'直接配方'!$F$165*I38+'直接配方'!$F$166*I30</x:f>
        <x:v>0</x:v>
      </x:c>
      <x:c r="J90" s="34" t="n">
        <x:f>'直接配方'!$F$160*J44+'直接配方'!$F$161*J41+'直接配方'!$F$162*J40+'直接配方'!$F$163*J23+'直接配方'!$F$164*J15+'直接配方'!$F$165*J38+'直接配方'!$F$166*J30</x:f>
        <x:v>0</x:v>
      </x:c>
      <x:c r="K90" s="34" t="n">
        <x:f>'直接配方'!$F$160*K44+'直接配方'!$F$161*K41+'直接配方'!$F$162*K40+'直接配方'!$F$163*K23+'直接配方'!$F$164*K15+'直接配方'!$F$165*K38+'直接配方'!$F$166*K30</x:f>
        <x:v>1.4930816617038074</x:v>
      </x:c>
      <x:c r="L90" s="34" t="n">
        <x:f>'直接配方'!$F$160*L44+'直接配方'!$F$161*L41+'直接配方'!$F$162*L40+'直接配方'!$F$163*L23+'直接配方'!$F$164*L15+'直接配方'!$F$165*L38+'直接配方'!$F$166*L30</x:f>
        <x:v>0.0023754174075399422</x:v>
      </x:c>
      <x:c r="M90" s="34" t="n">
        <x:f>'直接配方'!$F$160*M44+'直接配方'!$F$161*M41+'直接配方'!$F$162*M40+'直接配方'!$F$163*M23+'直接配方'!$F$164*M15+'直接配方'!$F$165*M38+'直接配方'!$F$166*M30</x:f>
        <x:v>0</x:v>
      </x:c>
    </x:row>
    <x:row r="91" ht="40" customHeight="1">
      <x:c r="A91" s="22" t="str">
        <x:v>E01</x:v>
      </x:c>
      <x:c r="B91" s="22" t="str">
        <x:v>晶硅太阳能板</x:v>
      </x:c>
      <x:c r="C91" s="22" t="str">
        <x:v>m²组件</x:v>
      </x:c>
      <x:c r="D91" s="34" t="n">
        <x:f>'直接配方'!$F$167*D90+'直接配方'!$F$168*D48+'直接配方'!$F$169*D40+'直接配方'!$F$170*D38+'直接配方'!$F$171*D42+'直接配方'!$F$172*D47+'直接配方'!$F$173*D27</x:f>
        <x:v>1.7423656749989496</x:v>
      </x:c>
      <x:c r="E91" s="34" t="n">
        <x:f>'直接配方'!$F$167*E90+'直接配方'!$F$168*E48+'直接配方'!$F$169*E40+'直接配方'!$F$170*E38+'直接配方'!$F$171*E42+'直接配方'!$F$172*E47+'直接配方'!$F$173*E27</x:f>
        <x:v>1.2477535023348898</x:v>
      </x:c>
      <x:c r="F91" s="34" t="n">
        <x:f>'直接配方'!$F$167*F90+'直接配方'!$F$168*F48+'直接配方'!$F$169*F40+'直接配方'!$F$170*F38+'直接配方'!$F$171*F42+'直接配方'!$F$172*F47+'直接配方'!$F$173*F27</x:f>
        <x:v>0</x:v>
      </x:c>
      <x:c r="G91" s="34" t="n">
        <x:f>'直接配方'!$F$167*G90+'直接配方'!$F$168*G48+'直接配方'!$F$169*G40+'直接配方'!$F$170*G38+'直接配方'!$F$171*G42+'直接配方'!$F$172*G47+'直接配方'!$F$173*G27</x:f>
        <x:v>0</x:v>
      </x:c>
      <x:c r="H91" s="34" t="n">
        <x:f>'直接配方'!$F$167*H90+'直接配方'!$F$168*H48+'直接配方'!$F$169*H40+'直接配方'!$F$170*H38+'直接配方'!$F$171*H42+'直接配方'!$F$172*H47+'直接配方'!$F$173*H27</x:f>
        <x:v>3.7401268314406346</x:v>
      </x:c>
      <x:c r="I91" s="34" t="n">
        <x:f>'直接配方'!$F$167*I90+'直接配方'!$F$168*I48+'直接配方'!$F$169*I40+'直接配方'!$F$170*I38+'直接配方'!$F$171*I42+'直接配方'!$F$172*I47+'直接配方'!$F$173*I27</x:f>
        <x:v>0</x:v>
      </x:c>
      <x:c r="J91" s="34" t="n">
        <x:f>'直接配方'!$F$167*J90+'直接配方'!$F$168*J48+'直接配方'!$F$169*J40+'直接配方'!$F$170*J38+'直接配方'!$F$171*J42+'直接配方'!$F$172*J47+'直接配方'!$F$173*J27</x:f>
        <x:v>0</x:v>
      </x:c>
      <x:c r="K91" s="34" t="n">
        <x:f>'直接配方'!$F$167*K90+'直接配方'!$F$168*K48+'直接配方'!$F$169*K40+'直接配方'!$F$170*K38+'直接配方'!$F$171*K42+'直接配方'!$F$172*K47+'直接配方'!$F$173*K27</x:f>
        <x:v>3.709938077327462</x:v>
      </x:c>
      <x:c r="L91" s="34" t="n">
        <x:f>'直接配方'!$F$167*L90+'直接配方'!$F$168*L48+'直接配方'!$F$169*L40+'直接配方'!$F$170*L38+'直接配方'!$F$171*L42+'直接配方'!$F$172*L47+'直接配方'!$F$173*L27</x:f>
        <x:v>0.0023754174075399422</x:v>
      </x:c>
      <x:c r="M91" s="34" t="n">
        <x:f>'直接配方'!$F$167*M90+'直接配方'!$F$168*M48+'直接配方'!$F$169*M40+'直接配方'!$F$170*M38+'直接配方'!$F$171*M42+'直接配方'!$F$172*M47+'直接配方'!$F$173*M27</x:f>
        <x:v>0</x:v>
      </x:c>
    </x:row>
    <x:row r="92" ht="40" customHeight="1">
      <x:c r="A92" s="22" t="str">
        <x:v>E02</x:v>
      </x:c>
      <x:c r="B92" s="22" t="str">
        <x:v>太阳热集热板</x:v>
      </x:c>
      <x:c r="C92" s="22" t="str">
        <x:v>m²集热面积</x:v>
      </x:c>
      <x:c r="D92" s="34" t="n">
        <x:f>'直接配方'!$F$174*D48+'直接配方'!$F$175*D37+'直接配方'!$F$176*D38+'直接配方'!$F$177*D50+'直接配方'!$F$178*D51+'直接配方'!$F$179*D29</x:f>
        <x:v>0.06043638913612214</x:v>
      </x:c>
      <x:c r="E92" s="34" t="n">
        <x:f>'直接配方'!$F$174*E48+'直接配方'!$F$175*E37+'直接配方'!$F$176*E38+'直接配方'!$F$177*E50+'直接配方'!$F$178*E51+'直接配方'!$F$179*E29</x:f>
        <x:v>0</x:v>
      </x:c>
      <x:c r="F92" s="34" t="n">
        <x:f>'直接配方'!$F$174*F48+'直接配方'!$F$175*F37+'直接配方'!$F$176*F38+'直接配方'!$F$177*F50+'直接配方'!$F$178*F51+'直接配方'!$F$179*F29</x:f>
        <x:v>0</x:v>
      </x:c>
      <x:c r="G92" s="34" t="n">
        <x:f>'直接配方'!$F$174*G48+'直接配方'!$F$175*G37+'直接配方'!$F$176*G38+'直接配方'!$F$177*G50+'直接配方'!$F$178*G51+'直接配方'!$F$179*G29</x:f>
        <x:v>0</x:v>
      </x:c>
      <x:c r="H92" s="34" t="n">
        <x:f>'直接配方'!$F$174*H48+'直接配方'!$F$175*H37+'直接配方'!$F$176*H38+'直接配方'!$F$177*H50+'直接配方'!$F$178*H51+'直接配方'!$F$179*H29</x:f>
        <x:v>3.211288498473797</x:v>
      </x:c>
      <x:c r="I92" s="34" t="n">
        <x:f>'直接配方'!$F$174*I48+'直接配方'!$F$175*I37+'直接配方'!$F$176*I38+'直接配方'!$F$177*I50+'直接配方'!$F$178*I51+'直接配方'!$F$179*I29</x:f>
        <x:v>0</x:v>
      </x:c>
      <x:c r="J92" s="34" t="n">
        <x:f>'直接配方'!$F$174*J48+'直接配方'!$F$175*J37+'直接配方'!$F$176*J38+'直接配方'!$F$177*J50+'直接配方'!$F$178*J51+'直接配方'!$F$179*J29</x:f>
        <x:v>0</x:v>
      </x:c>
      <x:c r="K92" s="34" t="n">
        <x:f>'直接配方'!$F$174*K48+'直接配方'!$F$175*K37+'直接配方'!$F$176*K38+'直接配方'!$F$177*K50+'直接配方'!$F$178*K51+'直接配方'!$F$179*K29</x:f>
        <x:v>2.9037045457670647</x:v>
      </x:c>
      <x:c r="L92" s="34" t="n">
        <x:f>'直接配方'!$F$174*L48+'直接配方'!$F$175*L37+'直接配方'!$F$176*L38+'直接配方'!$F$177*L50+'直接配方'!$F$178*L51+'直接配方'!$F$179*L29</x:f>
        <x:v>0</x:v>
      </x:c>
      <x:c r="M92" s="34" t="n">
        <x:f>'直接配方'!$F$174*M48+'直接配方'!$F$175*M37+'直接配方'!$F$176*M38+'直接配方'!$F$177*M50+'直接配方'!$F$178*M51+'直接配方'!$F$179*M29</x:f>
        <x:v>0</x:v>
      </x:c>
    </x:row>
    <x:row r="93" ht="40" customHeight="1">
      <x:c r="A93" s="22" t="str">
        <x:v>E03</x:v>
      </x:c>
      <x:c r="B93" s="22" t="str">
        <x:v>岩石显热储热模块</x:v>
      </x:c>
      <x:c r="C93" s="22" t="str">
        <x:v>kWhₜₕ名义容量</x:v>
      </x:c>
      <x:c r="D93" s="34" t="n">
        <x:f>'直接配方'!$F$180*D10+'直接配方'!$F$181*D37+'直接配方'!$F$182*D50</x:f>
        <x:v>0</x:v>
      </x:c>
      <x:c r="E93" s="34" t="n">
        <x:f>'直接配方'!$F$180*E10+'直接配方'!$F$181*E37+'直接配方'!$F$182*E50</x:f>
        <x:v>0</x:v>
      </x:c>
      <x:c r="F93" s="34" t="n">
        <x:f>'直接配方'!$F$180*F10+'直接配方'!$F$181*F37+'直接配方'!$F$182*F50</x:f>
        <x:v>0</x:v>
      </x:c>
      <x:c r="G93" s="34" t="n">
        <x:f>'直接配方'!$F$180*G10+'直接配方'!$F$181*G37+'直接配方'!$F$182*G50</x:f>
        <x:v>0</x:v>
      </x:c>
      <x:c r="H93" s="34" t="n">
        <x:f>'直接配方'!$F$180*H10+'直接配方'!$F$181*H37+'直接配方'!$F$182*H50</x:f>
        <x:v>0.9778313941470924</x:v>
      </x:c>
      <x:c r="I93" s="34" t="n">
        <x:f>'直接配方'!$F$180*I10+'直接配方'!$F$181*I37+'直接配方'!$F$182*I50</x:f>
        <x:v>0</x:v>
      </x:c>
      <x:c r="J93" s="34" t="n">
        <x:f>'直接配方'!$F$180*J10+'直接配方'!$F$181*J37+'直接配方'!$F$182*J50</x:f>
        <x:v>0</x:v>
      </x:c>
      <x:c r="K93" s="34" t="n">
        <x:f>'直接配方'!$F$180*K10+'直接配方'!$F$181*K37+'直接配方'!$F$182*K50</x:f>
        <x:v>0.868405466275844</x:v>
      </x:c>
      <x:c r="L93" s="34" t="n">
        <x:f>'直接配方'!$F$180*L10+'直接配方'!$F$181*L37+'直接配方'!$F$182*L50</x:f>
        <x:v>0</x:v>
      </x:c>
      <x:c r="M93" s="34" t="n">
        <x:f>'直接配方'!$F$180*M10+'直接配方'!$F$181*M37+'直接配方'!$F$182*M50</x:f>
        <x:v>0</x:v>
      </x:c>
    </x:row>
    <x:row r="94" ht="40" customHeight="1">
      <x:c r="A94" s="22" t="str">
        <x:v>E04</x:v>
      </x:c>
      <x:c r="B94" s="22" t="str">
        <x:v>碱性水电解设备</x:v>
      </x:c>
      <x:c r="C94" s="22" t="str">
        <x:v>套（1kW额定输入）</x:v>
      </x:c>
      <x:c r="D94" s="34" t="n">
        <x:f>'直接配方'!$F$183*D37+'直接配方'!$F$184*D39+'直接配方'!$F$185*D38+'直接配方'!$F$186*D46+'直接配方'!$F$187*D51+'直接配方'!$F$188*D57+'直接配方'!$F$189*D27+'直接配方'!$F$190*D29</x:f>
        <x:v>0.12087277827224428</x:v>
      </x:c>
      <x:c r="E94" s="34" t="n">
        <x:f>'直接配方'!$F$183*E37+'直接配方'!$F$184*E39+'直接配方'!$F$185*E38+'直接配方'!$F$186*E46+'直接配方'!$F$187*E51+'直接配方'!$F$188*E57+'直接配方'!$F$189*E27+'直接配方'!$F$190*E29</x:f>
        <x:v>0</x:v>
      </x:c>
      <x:c r="F94" s="34" t="n">
        <x:f>'直接配方'!$F$183*F37+'直接配方'!$F$184*F39+'直接配方'!$F$185*F38+'直接配方'!$F$186*F46+'直接配方'!$F$187*F51+'直接配方'!$F$188*F57+'直接配方'!$F$189*F27+'直接配方'!$F$190*F29</x:f>
        <x:v>0.3159254968362891</x:v>
      </x:c>
      <x:c r="G94" s="34" t="n">
        <x:f>'直接配方'!$F$183*G37+'直接配方'!$F$184*G39+'直接配方'!$F$185*G38+'直接配方'!$F$186*G46+'直接配方'!$F$187*G51+'直接配方'!$F$188*G57+'直接配方'!$F$189*G27+'直接配方'!$F$190*G29</x:f>
        <x:v>0.008983156581409857</x:v>
      </x:c>
      <x:c r="H94" s="34" t="n">
        <x:f>'直接配方'!$F$183*H37+'直接配方'!$F$184*H39+'直接配方'!$F$185*H38+'直接配方'!$F$186*H46+'直接配方'!$F$187*H51+'直接配方'!$F$188*H57+'直接配方'!$F$189*H27+'直接配方'!$F$190*H29</x:f>
        <x:v>10.764877845284568</x:v>
      </x:c>
      <x:c r="I94" s="34" t="n">
        <x:f>'直接配方'!$F$183*I37+'直接配方'!$F$184*I39+'直接配方'!$F$185*I38+'直接配方'!$F$186*I46+'直接配方'!$F$187*I51+'直接配方'!$F$188*I57+'直接配方'!$F$189*I27+'直接配方'!$F$190*I29</x:f>
        <x:v>0</x:v>
      </x:c>
      <x:c r="J94" s="34" t="n">
        <x:f>'直接配方'!$F$183*J37+'直接配方'!$F$184*J39+'直接配方'!$F$185*J38+'直接配方'!$F$186*J46+'直接配方'!$F$187*J51+'直接配方'!$F$188*J57+'直接配方'!$F$189*J27+'直接配方'!$F$190*J29</x:f>
        <x:v>0</x:v>
      </x:c>
      <x:c r="K94" s="34" t="n">
        <x:f>'直接配方'!$F$183*K37+'直接配方'!$F$184*K39+'直接配方'!$F$185*K38+'直接配方'!$F$186*K46+'直接配方'!$F$187*K51+'直接配方'!$F$188*K57+'直接配方'!$F$189*K27+'直接配方'!$F$190*K29</x:f>
        <x:v>10.804363201506385</x:v>
      </x:c>
      <x:c r="L94" s="34" t="n">
        <x:f>'直接配方'!$F$183*L37+'直接配方'!$F$184*L39+'直接配方'!$F$185*L38+'直接配方'!$F$186*L46+'直接配方'!$F$187*L51+'直接配方'!$F$188*L57+'直接配方'!$F$189*L27+'直接配方'!$F$190*L29</x:f>
        <x:v>0</x:v>
      </x:c>
      <x:c r="M94" s="34" t="n">
        <x:f>'直接配方'!$F$183*M37+'直接配方'!$F$184*M39+'直接配方'!$F$185*M38+'直接配方'!$F$186*M46+'直接配方'!$F$187*M51+'直接配方'!$F$188*M57+'直接配方'!$F$189*M27+'直接配方'!$F$190*M29</x:f>
        <x:v>0</x:v>
      </x:c>
    </x:row>
    <x:row r="95" ht="40" customHeight="1">
      <x:c r="A95" s="22" t="str">
        <x:v>E05</x:v>
      </x:c>
      <x:c r="B95" s="22" t="str">
        <x:v>甲烷合成设备</x:v>
      </x:c>
      <x:c r="C95" s="22" t="str">
        <x:v>套（名义1kg CH₄/日）</x:v>
      </x:c>
      <x:c r="D95" s="34" t="n">
        <x:f>'直接配方'!$F$191*D37+'直接配方'!$F$192*D39+'直接配方'!$F$193*D38+'直接配方'!$F$194*D49+'直接配方'!$F$195*D51+'直接配方'!$F$196*D27+'直接配方'!$F$197*D29</x:f>
        <x:v>0.18130916740836642</x:v>
      </x:c>
      <x:c r="E95" s="34" t="n">
        <x:f>'直接配方'!$F$191*E37+'直接配方'!$F$192*E39+'直接配方'!$F$193*E38+'直接配方'!$F$194*E49+'直接配方'!$F$195*E51+'直接配方'!$F$196*E27+'直接配方'!$F$197*E29</x:f>
        <x:v>0</x:v>
      </x:c>
      <x:c r="F95" s="34" t="n">
        <x:f>'直接配方'!$F$191*F37+'直接配方'!$F$192*F39+'直接配方'!$F$193*F38+'直接配方'!$F$194*F49+'直接配方'!$F$195*F51+'直接配方'!$F$196*F27+'直接配方'!$F$197*F29</x:f>
        <x:v>0</x:v>
      </x:c>
      <x:c r="G95" s="34" t="n">
        <x:f>'直接配方'!$F$191*G37+'直接配方'!$F$192*G39+'直接配方'!$F$193*G38+'直接配方'!$F$194*G49+'直接配方'!$F$195*G51+'直接配方'!$F$196*G27+'直接配方'!$F$197*G29</x:f>
        <x:v>0</x:v>
      </x:c>
      <x:c r="H95" s="34" t="n">
        <x:f>'直接配方'!$F$191*H37+'直接配方'!$F$192*H39+'直接配方'!$F$193*H38+'直接配方'!$F$194*H49+'直接配方'!$F$195*H51+'直接配方'!$F$196*H27+'直接配方'!$F$197*H29</x:f>
        <x:v>15.796069616217201</x:v>
      </x:c>
      <x:c r="I95" s="34" t="n">
        <x:f>'直接配方'!$F$191*I37+'直接配方'!$F$192*I39+'直接配方'!$F$193*I38+'直接配方'!$F$194*I49+'直接配方'!$F$195*I51+'直接配方'!$F$196*I27+'直接配方'!$F$197*I29</x:f>
        <x:v>0</x:v>
      </x:c>
      <x:c r="J95" s="34" t="n">
        <x:f>'直接配方'!$F$191*J37+'直接配方'!$F$192*J39+'直接配方'!$F$193*J38+'直接配方'!$F$194*J49+'直接配方'!$F$195*J51+'直接配方'!$F$196*J27+'直接配方'!$F$197*J29</x:f>
        <x:v>0</x:v>
      </x:c>
      <x:c r="K95" s="34" t="n">
        <x:f>'直接配方'!$F$191*K37+'直接配方'!$F$192*K39+'直接配方'!$F$193*K38+'直接配方'!$F$194*K49+'直接配方'!$F$195*K51+'直接配方'!$F$196*K27+'直接配方'!$F$197*K29</x:f>
        <x:v>14.183725556735673</x:v>
      </x:c>
      <x:c r="L95" s="34" t="n">
        <x:f>'直接配方'!$F$191*L37+'直接配方'!$F$192*L39+'直接配方'!$F$193*L38+'直接配方'!$F$194*L49+'直接配方'!$F$195*L51+'直接配方'!$F$196*L27+'直接配方'!$F$197*L29</x:f>
        <x:v>0</x:v>
      </x:c>
      <x:c r="M95" s="34" t="n">
        <x:f>'直接配方'!$F$191*M37+'直接配方'!$F$192*M39+'直接配方'!$F$193*M38+'直接配方'!$F$194*M49+'直接配方'!$F$195*M51+'直接配方'!$F$196*M27+'直接配方'!$F$197*M29</x:f>
        <x:v>0</x:v>
      </x:c>
    </x:row>
    <x:row r="96" ht="40" customHeight="1">
      <x:c r="A96" s="22" t="str">
        <x:v>E06</x:v>
      </x:c>
      <x:c r="B96" s="22" t="str">
        <x:v>合成甲烷</x:v>
      </x:c>
      <x:c r="C96" s="22" t="str">
        <x:v>kg</x:v>
      </x:c>
      <x:c r="D96" s="34" t="n">
        <x:f>'直接配方'!$F$198*D7+'直接配方'!$F$199*D33</x:f>
        <x:v>0</x:v>
      </x:c>
      <x:c r="E96" s="34" t="n">
        <x:f>'直接配方'!$F$198*E7+'直接配方'!$F$199*E33</x:f>
        <x:v>0</x:v>
      </x:c>
      <x:c r="F96" s="34" t="n">
        <x:f>'直接配方'!$F$198*F7+'直接配方'!$F$199*F33</x:f>
        <x:v>0</x:v>
      </x:c>
      <x:c r="G96" s="34" t="n">
        <x:f>'直接配方'!$F$198*G7+'直接配方'!$F$199*G33</x:f>
        <x:v>0</x:v>
      </x:c>
      <x:c r="H96" s="34" t="n">
        <x:f>'直接配方'!$F$198*H7+'直接配方'!$F$199*H33+'直接副产出'!$D$28</x:f>
        <x:v>2.2458393068628064</x:v>
      </x:c>
      <x:c r="I96" s="34" t="n">
        <x:f>'直接配方'!$F$198*I7+'直接配方'!$F$199*I33</x:f>
        <x:v>0</x:v>
      </x:c>
      <x:c r="J96" s="34" t="n">
        <x:f>'直接配方'!$F$198*J7+'直接配方'!$F$199*J33</x:f>
        <x:v>0</x:v>
      </x:c>
      <x:c r="K96" s="34" t="n">
        <x:f>'直接配方'!$F$198*K7+'直接配方'!$F$199*K33</x:f>
        <x:v>3.9890294832637294</x:v>
      </x:c>
      <x:c r="L96" s="34" t="n">
        <x:f>'直接配方'!$F$198*L7+'直接配方'!$F$199*L33</x:f>
        <x:v>0</x:v>
      </x:c>
      <x:c r="M96" s="34" t="n">
        <x:f>'直接配方'!$F$198*M7+'直接配方'!$F$199*M33</x:f>
        <x:v>0</x:v>
      </x:c>
    </x:row>
    <x:row r="97" ht="40" customHeight="1">
      <x:c r="A97" s="22" t="str">
        <x:v>E07</x:v>
      </x:c>
      <x:c r="B97" s="22" t="str">
        <x:v>氢气</x:v>
      </x:c>
      <x:c r="C97" s="22" t="str">
        <x:v>kg</x:v>
      </x:c>
      <x:c r="D97" s="34" t="n">
        <x:f>'直接配方'!$F$200*D33</x:f>
        <x:v>0</x:v>
      </x:c>
      <x:c r="E97" s="34" t="n">
        <x:f>'直接配方'!$F$200*E33</x:f>
        <x:v>0</x:v>
      </x:c>
      <x:c r="F97" s="34" t="n">
        <x:f>'直接配方'!$F$200*F33</x:f>
        <x:v>0</x:v>
      </x:c>
      <x:c r="G97" s="34" t="n">
        <x:f>'直接配方'!$F$200*G33</x:f>
        <x:v>0</x:v>
      </x:c>
      <x:c r="H97" s="34" t="n">
        <x:f>'直接配方'!$F$200*H33</x:f>
        <x:v>0</x:v>
      </x:c>
      <x:c r="I97" s="34" t="n">
        <x:f>'直接配方'!$F$200*I33</x:f>
        <x:v>0</x:v>
      </x:c>
      <x:c r="J97" s="34" t="n">
        <x:f>'直接配方'!$F$200*J33</x:f>
        <x:v>0</x:v>
      </x:c>
      <x:c r="K97" s="34" t="n">
        <x:f>'直接配方'!$F$200*K33</x:f>
        <x:v>7.936011904761905</x:v>
      </x:c>
      <x:c r="L97" s="34" t="n">
        <x:f>'直接配方'!$F$200*L33</x:f>
        <x:v>0</x:v>
      </x:c>
      <x:c r="M97" s="34" t="n">
        <x:f>'直接配方'!$F$200*M33</x:f>
        <x:v>0</x:v>
      </x:c>
    </x:row>
    <x:row r="98" ht="40" customHeight="1">
      <x:c r="A98" s="22" t="str">
        <x:v>E08</x:v>
      </x:c>
      <x:c r="B98" s="22" t="str">
        <x:v>氧气</x:v>
      </x:c>
      <x:c r="C98" s="22" t="str">
        <x:v>kg</x:v>
      </x:c>
      <x:c r="D98" s="34" t="n">
        <x:f>'直接配方'!$F$201*D34</x:f>
        <x:v>1.750734420901306</x:v>
      </x:c>
      <x:c r="E98" s="34" t="n">
        <x:f>'直接配方'!$F$201*E34</x:f>
        <x:v>0</x:v>
      </x:c>
      <x:c r="F98" s="34" t="n">
        <x:f>'直接配方'!$F$201*F34</x:f>
        <x:v>0</x:v>
      </x:c>
      <x:c r="G98" s="34" t="n">
        <x:f>'直接配方'!$F$201*G34</x:f>
        <x:v>0</x:v>
      </x:c>
      <x:c r="H98" s="34" t="n">
        <x:f>'直接配方'!$F$201*H34</x:f>
        <x:v>0</x:v>
      </x:c>
      <x:c r="I98" s="34" t="n">
        <x:f>'直接配方'!$F$201*I34</x:f>
        <x:v>0</x:v>
      </x:c>
      <x:c r="J98" s="34" t="n">
        <x:f>'直接配方'!$F$201*J34</x:f>
        <x:v>0</x:v>
      </x:c>
      <x:c r="K98" s="34" t="n">
        <x:f>'直接配方'!$F$201*K34</x:f>
        <x:v>0</x:v>
      </x:c>
      <x:c r="L98" s="34" t="n">
        <x:f>'直接配方'!$F$201*L34</x:f>
        <x:v>0</x:v>
      </x:c>
      <x:c r="M98" s="34" t="n">
        <x:f>'直接配方'!$F$201*M34</x:f>
        <x:v>0</x:v>
      </x:c>
    </x:row>
    <x:row r="99" ht="40" customHeight="1">
      <x:c r="A99" s="22" t="str">
        <x:v>E09</x:v>
      </x:c>
      <x:c r="B99" s="22" t="str">
        <x:v>镍铁蓄电池模块</x:v>
      </x:c>
      <x:c r="C99" s="22" t="str">
        <x:v>kWhₑ名义容量</x:v>
      </x:c>
      <x:c r="D99" s="34" t="n">
        <x:f>'直接配方'!$F$202*D58+'直接配方'!$F$203*D36+'直接配方'!$F$204*D37+'直接配方'!$F$205*D57+'直接配方'!$F$206*D32+'直接配方'!$F$207*D46+'直接配方'!$F$208*D38+'直接配方'!$F$209*D29</x:f>
        <x:v>0</x:v>
      </x:c>
      <x:c r="E99" s="34" t="n">
        <x:f>'直接配方'!$F$202*E58+'直接配方'!$F$203*E36+'直接配方'!$F$204*E37+'直接配方'!$F$205*E57+'直接配方'!$F$206*E32+'直接配方'!$F$207*E46+'直接配方'!$F$208*E38+'直接配方'!$F$209*E29</x:f>
        <x:v>0</x:v>
      </x:c>
      <x:c r="F99" s="34" t="n">
        <x:f>'直接配方'!$F$202*F58+'直接配方'!$F$203*F36+'直接配方'!$F$204*F37+'直接配方'!$F$205*F57+'直接配方'!$F$206*F32+'直接配方'!$F$207*F46+'直接配方'!$F$208*F38+'直接配方'!$F$209*F29</x:f>
        <x:v>1.2637019873451565</x:v>
      </x:c>
      <x:c r="G99" s="34" t="n">
        <x:f>'直接配方'!$F$202*G58+'直接配方'!$F$203*G36+'直接配方'!$F$204*G37+'直接配方'!$F$205*G57+'直接配方'!$F$206*G32+'直接配方'!$F$207*G46+'直接配方'!$F$208*G38+'直接配方'!$F$209*G29</x:f>
        <x:v>0.03593262632563943</x:v>
      </x:c>
      <x:c r="H99" s="34" t="n">
        <x:f>'直接配方'!$F$202*H58+'直接配方'!$F$203*H36+'直接配方'!$F$204*H37+'直接配方'!$F$205*H57+'直接配方'!$F$206*H32+'直接配方'!$F$207*H46+'直接配方'!$F$208*H38+'直接配方'!$F$209*H29</x:f>
        <x:v>11.619791906549695</x:v>
      </x:c>
      <x:c r="I99" s="34" t="n">
        <x:f>'直接配方'!$F$202*I58+'直接配方'!$F$203*I36+'直接配方'!$F$204*I37+'直接配方'!$F$205*I57+'直接配方'!$F$206*I32+'直接配方'!$F$207*I46+'直接配方'!$F$208*I38+'直接配方'!$F$209*I29</x:f>
        <x:v>0</x:v>
      </x:c>
      <x:c r="J99" s="34" t="n">
        <x:f>'直接配方'!$F$202*J58+'直接配方'!$F$203*J36+'直接配方'!$F$204*J37+'直接配方'!$F$205*J57+'直接配方'!$F$206*J32+'直接配方'!$F$207*J46+'直接配方'!$F$208*J38+'直接配方'!$F$209*J29</x:f>
        <x:v>0</x:v>
      </x:c>
      <x:c r="K99" s="34" t="n">
        <x:f>'直接配方'!$F$202*K58+'直接配方'!$F$203*K36+'直接配方'!$F$204*K37+'直接配方'!$F$205*K57+'直接配方'!$F$206*K32+'直接配方'!$F$207*K46+'直接配方'!$F$208*K38+'直接配方'!$F$209*K29</x:f>
        <x:v>12.600630849297946</x:v>
      </x:c>
      <x:c r="L99" s="34" t="n">
        <x:f>'直接配方'!$F$202*L58+'直接配方'!$F$203*L36+'直接配方'!$F$204*L37+'直接配方'!$F$205*L57+'直接配方'!$F$206*L32+'直接配方'!$F$207*L46+'直接配方'!$F$208*L38+'直接配方'!$F$209*L29</x:f>
        <x:v>0</x:v>
      </x:c>
      <x:c r="M99" s="34" t="n">
        <x:f>'直接配方'!$F$202*M58+'直接配方'!$F$203*M36+'直接配方'!$F$204*M37+'直接配方'!$F$205*M57+'直接配方'!$F$206*M32+'直接配方'!$F$207*M46+'直接配方'!$F$208*M38+'直接配方'!$F$209*M29</x:f>
        <x:v>0</x:v>
      </x:c>
    </x:row>
    <x:row r="100" ht="40" customHeight="1">
      <x:c r="A100" s="22" t="str">
        <x:v>E10</x:v>
      </x:c>
      <x:c r="B100" s="22" t="str">
        <x:v>甲烷—氧气发电机套件</x:v>
      </x:c>
      <x:c r="C100" s="22" t="str">
        <x:v>套（1kWₑ名义输出）</x:v>
      </x:c>
      <x:c r="D100" s="34" t="n">
        <x:f>'直接配方'!$F$210*D37+'直接配方'!$F$211*D38+'直接配方'!$F$212*D49+'直接配方'!$F$213*D51+'直接配方'!$F$214*D27+'直接配方'!$F$215*D28</x:f>
        <x:v>0.18130916740836642</x:v>
      </x:c>
      <x:c r="E100" s="34" t="n">
        <x:f>'直接配方'!$F$210*E37+'直接配方'!$F$211*E38+'直接配方'!$F$212*E49+'直接配方'!$F$213*E51+'直接配方'!$F$214*E27+'直接配方'!$F$215*E28</x:f>
        <x:v>0</x:v>
      </x:c>
      <x:c r="F100" s="34" t="n">
        <x:f>'直接配方'!$F$210*F37+'直接配方'!$F$211*F38+'直接配方'!$F$212*F49+'直接配方'!$F$213*F51+'直接配方'!$F$214*F27+'直接配方'!$F$215*F28</x:f>
        <x:v>0</x:v>
      </x:c>
      <x:c r="G100" s="34" t="n">
        <x:f>'直接配方'!$F$210*G37+'直接配方'!$F$211*G38+'直接配方'!$F$212*G49+'直接配方'!$F$213*G51+'直接配方'!$F$214*G27+'直接配方'!$F$215*G28</x:f>
        <x:v>0</x:v>
      </x:c>
      <x:c r="H100" s="34" t="n">
        <x:f>'直接配方'!$F$210*H37+'直接配方'!$F$211*H38+'直接配方'!$F$212*H49+'直接配方'!$F$213*H51+'直接配方'!$F$214*H27+'直接配方'!$F$215*H28</x:f>
        <x:v>30.877063324110747</x:v>
      </x:c>
      <x:c r="I100" s="34" t="n">
        <x:f>'直接配方'!$F$210*I37+'直接配方'!$F$211*I38+'直接配方'!$F$212*I49+'直接配方'!$F$213*I51+'直接配方'!$F$214*I27+'直接配方'!$F$215*I28</x:f>
        <x:v>0</x:v>
      </x:c>
      <x:c r="J100" s="34" t="n">
        <x:f>'直接配方'!$F$210*J37+'直接配方'!$F$211*J38+'直接配方'!$F$212*J49+'直接配方'!$F$213*J51+'直接配方'!$F$214*J27+'直接配方'!$F$215*J28</x:f>
        <x:v>0</x:v>
      </x:c>
      <x:c r="K100" s="34" t="n">
        <x:f>'直接配方'!$F$210*K37+'直接配方'!$F$211*K38+'直接配方'!$F$212*K49+'直接配方'!$F$213*K51+'直接配方'!$F$214*K27+'直接配方'!$F$215*K28</x:f>
        <x:v>27.57705435676836</x:v>
      </x:c>
      <x:c r="L100" s="34" t="n">
        <x:f>'直接配方'!$F$210*L37+'直接配方'!$F$211*L38+'直接配方'!$F$212*L49+'直接配方'!$F$213*L51+'直接配方'!$F$214*L27+'直接配方'!$F$215*L28</x:f>
        <x:v>0</x:v>
      </x:c>
      <x:c r="M100" s="34" t="n">
        <x:f>'直接配方'!$F$210*M37+'直接配方'!$F$211*M38+'直接配方'!$F$212*M49+'直接配方'!$F$213*M51+'直接配方'!$F$214*M27+'直接配方'!$F$215*M28</x:f>
        <x:v>0</x:v>
      </x:c>
    </x:row>
  </x:sheetData>
  <x:mergeCells>
    <x:mergeCell ref="A1:M1"/>
    <x:mergeCell ref="A2:M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5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</x:cols>
  <x:sheetData>
    <x:row r="1" ht="34" customHeight="1">
      <x:c r="A1" s="4" t="str">
        <x:v>主原料_毛投入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</x:row>
    <x:row r="2" ht="20" customHeight="1">
      <x:c r="A2" s="9" t="str">
        <x:v>每格=独立生产该列一单位终端所需kg有效原料当量。毛投入；不抵扣副产品。T/H/U混合，必须同时阅读终端规格和未闭合项。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</x:row>
    <x:row r="5" ht="76" customHeight="1">
      <x:c r="A5" s="15" t="str">
        <x:v>原料ID</x:v>
      </x:c>
      <x:c r="B5" s="15" t="str">
        <x:v>原料</x:v>
      </x:c>
      <x:c r="C5" s="15" t="str">
        <x:v>行单位</x:v>
      </x:c>
      <x:c r="D5" s="15" t="str">
        <x:v>I01
烧结砖/铺面块
kg</x:v>
      </x:c>
      <x:c r="E5" s="15" t="str">
        <x:v>I02
陶瓷管/耐火件
kg</x:v>
      </x:c>
      <x:c r="F5" s="15" t="str">
        <x:v>I03
岩棉/玄武岩纤维
kg</x:v>
      </x:c>
      <x:c r="G5" s="15" t="str">
        <x:v>I04
透明硅玻璃板
m²（厚5mm）</x:v>
      </x:c>
      <x:c r="H5" s="15" t="str">
        <x:v>I05
低碳钢零件
kg</x:v>
      </x:c>
      <x:c r="I5" s="15" t="str">
        <x:v>I06
裸铜导线
kg</x:v>
      </x:c>
      <x:c r="J5" s="15" t="str">
        <x:v>I07
PE管材/薄膜
kg</x:v>
      </x:c>
      <x:c r="K5" s="15" t="str">
        <x:v>I08
硅橡胶密封件
kg</x:v>
      </x:c>
      <x:c r="L5" s="15" t="str">
        <x:v>I09
润滑基料
kg</x:v>
      </x:c>
      <x:c r="M5" s="15" t="str">
        <x:v>I10
钢制紧固件
kg</x:v>
      </x:c>
      <x:c r="N5" s="15" t="str">
        <x:v>I11
流体泵套件
套（名义1kW）</x:v>
      </x:c>
      <x:c r="O5" s="15" t="str">
        <x:v>I12
感应电机套件
套（名义1kW）</x:v>
      </x:c>
      <x:c r="P5" s="15" t="str">
        <x:v>I13
储液/储气容器套件
套（容积1m³）</x:v>
      </x:c>
      <x:c r="Q5" s="15" t="str">
        <x:v>I14
电热炉套件
套（名义1kW输入）</x:v>
      </x:c>
      <x:c r="R5" s="15" t="str">
        <x:v>I15
机加工设备套件
套（名义1kW主驱动）</x:v>
      </x:c>
      <x:c r="S5" s="15" t="str">
        <x:v>I16
净水设备套件
套（名义1m³/日）</x:v>
      </x:c>
      <x:c r="T5" s="15" t="str">
        <x:v>I17
气体处理设备套件
套（名义1kg CO₂/小时）</x:v>
      </x:c>
      <x:c r="U5" s="15" t="str">
        <x:v>I18
居住/厂房围护构件套件
m²围护面</x:v>
      </x:c>
      <x:c r="V5" s="15" t="str">
        <x:v>I19
机械阀门套件
件（示例小型阀）</x:v>
      </x:c>
      <x:c r="W5" s="15" t="str">
        <x:v>I20
绝缘电缆
kg</x:v>
      </x:c>
      <x:c r="X5" s="15" t="str">
        <x:v>A01
净水
kg</x:v>
      </x:c>
      <x:c r="Y5" s="15" t="str">
        <x:v>A02
无水硝酸钙肥料当量
kg</x:v>
      </x:c>
      <x:c r="Z5" s="15" t="str">
        <x:v>A03
磷酸一铵肥料当量
kg</x:v>
      </x:c>
      <x:c r="AA5" s="15" t="str">
        <x:v>A04
硫酸钾肥料
kg</x:v>
      </x:c>
      <x:c r="AB5" s="15" t="str">
        <x:v>A05
七水硫酸镁肥料
kg</x:v>
      </x:c>
      <x:c r="AC5" s="15" t="str">
        <x:v>A06
石膏钙硫肥
kg</x:v>
      </x:c>
      <x:c r="AD5" s="15" t="str">
        <x:v>A07
小麦可食干物质
kg可食干物质</x:v>
      </x:c>
      <x:c r="AE5" s="15" t="str">
        <x:v>A08
大豆可食干物质
kg可食干物质</x:v>
      </x:c>
      <x:c r="AF5" s="15" t="str">
        <x:v>A09
马铃薯可食干物质
kg可食干物质</x:v>
      </x:c>
      <x:c r="AG5" s="15" t="str">
        <x:v>A10
叶菜可食干物质
kg可食干物质</x:v>
      </x:c>
      <x:c r="AH5" s="15" t="str">
        <x:v>A11
循环水培栽培模块
m²栽培面积</x:v>
      </x:c>
      <x:c r="AI5" s="15" t="str">
        <x:v>E01
晶硅太阳能板
m²组件</x:v>
      </x:c>
      <x:c r="AJ5" s="15" t="str">
        <x:v>E02
太阳热集热板
m²集热面积</x:v>
      </x:c>
      <x:c r="AK5" s="15" t="str">
        <x:v>E03
岩石显热储热模块
kWhₜₕ名义容量</x:v>
      </x:c>
      <x:c r="AL5" s="15" t="str">
        <x:v>E04
碱性水电解设备
套（1kW额定输入）</x:v>
      </x:c>
      <x:c r="AM5" s="15" t="str">
        <x:v>E05
甲烷合成设备
套（名义1kg CH₄/日）</x:v>
      </x:c>
      <x:c r="AN5" s="15" t="str">
        <x:v>E06
合成甲烷
kg</x:v>
      </x:c>
      <x:c r="AO5" s="15" t="str">
        <x:v>E07
氢气
kg</x:v>
      </x:c>
      <x:c r="AP5" s="15" t="str">
        <x:v>E08
氧气
kg</x:v>
      </x:c>
      <x:c r="AQ5" s="15" t="str">
        <x:v>E09
镍铁蓄电池模块
kWhₑ名义容量</x:v>
      </x:c>
      <x:c r="AR5" s="15" t="str">
        <x:v>E10
甲烷—氧气发电机套件
套（1kWₑ名义输出）</x:v>
      </x:c>
    </x:row>
    <x:row r="6" ht="40" customHeight="1">
      <x:c r="A6" s="22" t="str">
        <x:v>R01</x:v>
      </x:c>
      <x:c r="B6" s="22" t="str">
        <x:v>水冰中H₂O</x:v>
      </x:c>
      <x:c r="C6" s="22" t="str">
        <x:v>kg有效组分当量</x:v>
      </x:c>
      <x:c r="D6" s="36" t="n">
        <x:f>'主料系数展开'!D59</x:f>
        <x:v>0</x:v>
      </x:c>
      <x:c r="E6" s="36" t="n">
        <x:f>'主料系数展开'!D60</x:f>
        <x:v>0</x:v>
      </x:c>
      <x:c r="F6" s="36" t="n">
        <x:f>'主料系数展开'!D61</x:f>
        <x:v>0</x:v>
      </x:c>
      <x:c r="G6" s="36" t="n">
        <x:f>'主料系数展开'!D62</x:f>
        <x:v>0</x:v>
      </x:c>
      <x:c r="H6" s="36" t="n">
        <x:f>'主料系数展开'!D63</x:f>
        <x:v>0.4889156970735462</x:v>
      </x:c>
      <x:c r="I6" s="36" t="n">
        <x:f>'主料系数展开'!D64</x:f>
        <x:v>0.2834954206401662</x:v>
      </x:c>
      <x:c r="J6" s="36" t="n">
        <x:f>'主料系数展开'!D65</x:f>
        <x:v>3.852926498894989</x:v>
      </x:c>
      <x:c r="K6" s="36" t="n">
        <x:f>'主料系数展开'!D66</x:f>
        <x:v>1.94352293874909</x:v>
      </x:c>
      <x:c r="L6" s="36" t="n">
        <x:f>'主料系数展开'!D67</x:f>
        <x:v>3.852926498894989</x:v>
      </x:c>
      <x:c r="M6" s="36" t="n">
        <x:f>'主料系数展开'!D68</x:f>
        <x:v>0.4889156970735462</x:v>
      </x:c>
      <x:c r="N6" s="36" t="n">
        <x:f>'主料系数展开'!D69</x:f>
        <x:v>6.680936083592622</x:v>
      </x:c>
      <x:c r="O6" s="36" t="n">
        <x:f>'主料系数展开'!D70</x:f>
        <x:v>5.6505001058907025</x:v>
      </x:c>
      <x:c r="P6" s="36" t="n">
        <x:f>'主料系数展开'!D71</x:f>
        <x:v>29.865394122482673</x:v>
      </x:c>
      <x:c r="Q6" s="36" t="n">
        <x:f>'主料系数展开'!D72</x:f>
        <x:v>4.086201310166209</x:v>
      </x:c>
      <x:c r="R6" s="36" t="n">
        <x:f>'主料系数展开'!D73</x:f>
        <x:v>53.59498246817011</x:v>
      </x:c>
      <x:c r="S6" s="36" t="n">
        <x:f>'主料系数展开'!D74</x:f>
        <x:v>30.29820332596058</x:v>
      </x:c>
      <x:c r="T6" s="36" t="n">
        <x:f>'主料系数展开'!D75</x:f>
        <x:v>11.317066252125802</x:v>
      </x:c>
      <x:c r="U6" s="36" t="n">
        <x:f>'主料系数展开'!D76</x:f>
        <x:v>14.01994502811573</x:v>
      </x:c>
      <x:c r="V6" s="36" t="n">
        <x:f>'主料系数展开'!D77</x:f>
        <x:v>0.4983298155286643</x:v>
      </x:c>
      <x:c r="W6" s="36" t="n">
        <x:f>'主料系数展开'!D78</x:f>
        <x:v>0.9973816362911307</x:v>
      </x:c>
      <x:c r="X6" s="36" t="n">
        <x:f>'主料系数展开'!D79</x:f>
        <x:v>1</x:v>
      </x:c>
      <x:c r="Y6" s="36" t="n">
        <x:f>'主料系数展开'!D80</x:f>
        <x:v>0.3293699645307948</x:v>
      </x:c>
      <x:c r="Z6" s="36" t="n">
        <x:f>'主料系数展开'!D81</x:f>
        <x:v>1.0180178222125627</x:v>
      </x:c>
      <x:c r="AA6" s="36" t="n">
        <x:f>'主料系数展开'!D82</x:f>
        <x:v>0.10338475311617658</x:v>
      </x:c>
      <x:c r="AB6" s="36" t="n">
        <x:f>'主料系数展开'!D83</x:f>
        <x:v>0.43855947676352924</x:v>
      </x:c>
      <x:c r="AC6" s="36" t="n">
        <x:f>'主料系数展开'!D84</x:f>
        <x:v>0</x:v>
      </x:c>
      <x:c r="AD6" s="36" t="n">
        <x:f>'主料系数展开'!D85</x:f>
        <x:v>10.350834468223036</x:v>
      </x:c>
      <x:c r="AE6" s="36" t="n">
        <x:f>'主料系数展开'!D86</x:f>
        <x:v>11.866269291928615</x:v>
      </x:c>
      <x:c r="AF6" s="36" t="n">
        <x:f>'主料系数展开'!D87</x:f>
        <x:v>6.201747423978557</x:v>
      </x:c>
      <x:c r="AG6" s="36" t="n">
        <x:f>'主料系数展开'!D88</x:f>
        <x:v>5.472916377471801</x:v>
      </x:c>
      <x:c r="AH6" s="36" t="n">
        <x:f>'主料系数展开'!D89</x:f>
        <x:v>14.337404786232328</x:v>
      </x:c>
      <x:c r="AI6" s="36" t="n">
        <x:f>'主料系数展开'!D91</x:f>
        <x:v>4.17741949265918</x:v>
      </x:c>
      <x:c r="AJ6" s="36" t="n">
        <x:f>'主料系数展开'!D92</x:f>
        <x:v>3.2695941866362697</x:v>
      </x:c>
      <x:c r="AK6" s="36" t="n">
        <x:f>'主料系数展开'!D93</x:f>
        <x:v>0.9778313941470924</x:v>
      </x:c>
      <x:c r="AL6" s="36" t="n">
        <x:f>'主料系数展开'!D94</x:f>
        <x:v>12.326345242882146</x:v>
      </x:c>
      <x:c r="AM6" s="36" t="n">
        <x:f>'主料系数展开'!D95</x:f>
        <x:v>15.97098668070462</x:v>
      </x:c>
      <x:c r="AN6" s="36" t="n">
        <x:f>'主料系数展开'!D96</x:f>
        <x:v>4.491678613725613</x:v>
      </x:c>
      <x:c r="AO6" s="36" t="n">
        <x:f>'主料系数展开'!D97</x:f>
        <x:v>8.936011904761905</x:v>
      </x:c>
      <x:c r="AP6" s="36" t="n">
        <x:f>'主料系数展开'!D98</x:f>
        <x:v>0</x:v>
      </x:c>
      <x:c r="AQ6" s="36" t="n">
        <x:f>'主料系数展开'!D99</x:f>
        <x:v>23.99652970090305</x:v>
      </x:c>
      <x:c r="AR6" s="36" t="n">
        <x:f>'主料系数展开'!D100</x:f>
        <x:v>31.051980388598167</x:v>
      </x:c>
    </x:row>
    <x:row r="7" ht="40" customHeight="1">
      <x:c r="A7" s="22" t="str">
        <x:v>R02</x:v>
      </x:c>
      <x:c r="B7" s="22" t="str">
        <x:v>大气CO₂组分</x:v>
      </x:c>
      <x:c r="C7" s="22" t="str">
        <x:v>kg有效组分当量</x:v>
      </x:c>
      <x:c r="D7" s="36" t="n">
        <x:f>'主料系数展开'!E59</x:f>
        <x:v>0</x:v>
      </x:c>
      <x:c r="E7" s="36" t="n">
        <x:f>'主料系数展开'!E60</x:f>
        <x:v>0</x:v>
      </x:c>
      <x:c r="F7" s="36" t="n">
        <x:f>'主料系数展开'!E61</x:f>
        <x:v>0</x:v>
      </x:c>
      <x:c r="G7" s="36" t="n">
        <x:f>'主料系数展开'!E62</x:f>
        <x:v>0</x:v>
      </x:c>
      <x:c r="H7" s="36" t="n">
        <x:f>'主料系数展开'!E63</x:f>
        <x:v>0.00732811589376405</x:v>
      </x:c>
      <x:c r="I7" s="36" t="n">
        <x:f>'主料系数展开'!E64</x:f>
        <x:v>0</x:v>
      </x:c>
      <x:c r="J7" s="36" t="n">
        <x:f>'主料系数展开'!E65</x:f>
        <x:v>3.1374492051044416</x:v>
      </x:c>
      <x:c r="K7" s="36" t="n">
        <x:f>'主料系数展开'!E66</x:f>
        <x:v>1.89913962834102</x:v>
      </x:c>
      <x:c r="L7" s="36" t="n">
        <x:f>'主料系数展开'!E67</x:f>
        <x:v>3.1374492051044416</x:v>
      </x:c>
      <x:c r="M7" s="36" t="n">
        <x:f>'主料系数展开'!E68</x:f>
        <x:v>0.00732811589376405</x:v>
      </x:c>
      <x:c r="N7" s="36" t="n">
        <x:f>'主料系数展开'!E69</x:f>
        <x:v>0.4677653163933726</x:v>
      </x:c>
      <x:c r="O7" s="36" t="n">
        <x:f>'主料系数展开'!E70</x:f>
        <x:v>0.26319512177174254</x:v>
      </x:c>
      <x:c r="P7" s="36" t="n">
        <x:f>'主料系数展开'!E71</x:f>
        <x:v>0.819514879294047</x:v>
      </x:c>
      <x:c r="Q7" s="36" t="n">
        <x:f>'主料系数展开'!E72</x:f>
        <x:v>1.8686695529098327</x:v>
      </x:c>
      <x:c r="R7" s="36" t="n">
        <x:f>'主料系数展开'!E73</x:f>
        <x:v>3.8702607944808465</x:v>
      </x:c>
      <x:c r="S7" s="36" t="n">
        <x:f>'主料系数展开'!E74</x:f>
        <x:v>16.783378157568</x:v>
      </x:c>
      <x:c r="T7" s="36" t="n">
        <x:f>'主料系数展开'!E75</x:f>
        <x:v>1.096132132045791</x:v>
      </x:c>
      <x:c r="U7" s="36" t="n">
        <x:f>'主料系数展开'!E76</x:f>
        <x:v>3.6638394486479267</x:v>
      </x:c>
      <x:c r="V7" s="36" t="n">
        <x:f>'主料系数展开'!E77</x:f>
        <x:v>0.06356949315461824</x:v>
      </x:c>
      <x:c r="W7" s="36" t="n">
        <x:f>'主料系数展开'!E78</x:f>
        <x:v>0.6274898410208883</x:v>
      </x:c>
      <x:c r="X7" s="36" t="n">
        <x:f>'主料系数展开'!E79</x:f>
        <x:v>0</x:v>
      </x:c>
      <x:c r="Y7" s="36" t="n">
        <x:f>'主料系数展开'!E80</x:f>
        <x:v>2.1456553270845773</x:v>
      </x:c>
      <x:c r="Z7" s="36" t="n">
        <x:f>'主料系数展开'!E81</x:f>
        <x:v>1.9130189089328409</x:v>
      </x:c>
      <x:c r="AA7" s="36" t="n">
        <x:f>'主料系数展开'!E82</x:f>
        <x:v>0.7576785345361889</x:v>
      </x:c>
      <x:c r="AB7" s="36" t="n">
        <x:f>'主料系数展开'!E83</x:f>
        <x:v>0</x:v>
      </x:c>
      <x:c r="AC7" s="36" t="n">
        <x:f>'主料系数展开'!E84</x:f>
        <x:v>0</x:v>
      </x:c>
      <x:c r="AD7" s="36" t="n">
        <x:f>'主料系数展开'!E85</x:f>
        <x:v>4.440766422499875</x:v>
      </x:c>
      <x:c r="AE7" s="36" t="n">
        <x:f>'主料系数展开'!E86</x:f>
        <x:v>6.264431840271915</x:v>
      </x:c>
      <x:c r="AF7" s="36" t="n">
        <x:f>'主料系数展开'!E87</x:f>
        <x:v>2.5598340025973894</x:v>
      </x:c>
      <x:c r="AG7" s="36" t="n">
        <x:f>'主料系数展开'!E88</x:f>
        <x:v>2.3494329252601482</x:v>
      </x:c>
      <x:c r="AH7" s="36" t="n">
        <x:f>'主料系数展开'!E89</x:f>
        <x:v>9.472376460601813</x:v>
      </x:c>
      <x:c r="AI7" s="36" t="n">
        <x:f>'主料系数展开'!E91</x:f>
        <x:v>4.697516403520742</x:v>
      </x:c>
      <x:c r="AJ7" s="36" t="n">
        <x:f>'主料系数展开'!E92</x:f>
        <x:v>0.2338826581966863</x:v>
      </x:c>
      <x:c r="AK7" s="36" t="n">
        <x:f>'主料系数展开'!E93</x:f>
        <x:v>0.0146562317875281</x:v>
      </x:c>
      <x:c r="AL7" s="36" t="n">
        <x:f>'主料系数展开'!E94</x:f>
        <x:v>3.6271988691791064</x:v>
      </x:c>
      <x:c r="AM7" s="36" t="n">
        <x:f>'主料系数展开'!E95</x:f>
        <x:v>0.7895853653152275</x:v>
      </x:c>
      <x:c r="AN7" s="36" t="n">
        <x:f>'主料系数展开'!E96</x:f>
        <x:v>2.7431901764009226</x:v>
      </x:c>
      <x:c r="AO7" s="36" t="n">
        <x:f>'主料系数展开'!E97</x:f>
        <x:v>0</x:v>
      </x:c>
      <x:c r="AP7" s="36" t="n">
        <x:f>'主料系数展开'!E98</x:f>
        <x:v>2.7507344209013063</x:v>
      </x:c>
      <x:c r="AQ7" s="36" t="n">
        <x:f>'主料系数展开'!E99</x:f>
        <x:v>6.348179569146524</x:v>
      </x:c>
      <x:c r="AR7" s="36" t="n">
        <x:f>'主料系数展开'!E100</x:f>
        <x:v>1.009428842128149</x:v>
      </x:c>
    </x:row>
    <x:row r="8" ht="40" customHeight="1">
      <x:c r="A8" s="22" t="str">
        <x:v>R03</x:v>
      </x:c>
      <x:c r="B8" s="22" t="str">
        <x:v>大气N₂组分</x:v>
      </x:c>
      <x:c r="C8" s="22" t="str">
        <x:v>kg有效组分当量</x:v>
      </x:c>
      <x:c r="D8" s="36" t="n">
        <x:f>'主料系数展开'!F59</x:f>
        <x:v>0</x:v>
      </x:c>
      <x:c r="E8" s="36" t="n">
        <x:f>'主料系数展开'!F60</x:f>
        <x:v>0</x:v>
      </x:c>
      <x:c r="F8" s="36" t="n">
        <x:f>'主料系数展开'!F61</x:f>
        <x:v>0</x:v>
      </x:c>
      <x:c r="G8" s="36" t="n">
        <x:f>'主料系数展开'!F62</x:f>
        <x:v>0</x:v>
      </x:c>
      <x:c r="H8" s="36" t="n">
        <x:f>'主料系数展开'!F63</x:f>
        <x:v>0</x:v>
      </x:c>
      <x:c r="I8" s="36" t="n">
        <x:f>'主料系数展开'!F64</x:f>
        <x:v>0</x:v>
      </x:c>
      <x:c r="J8" s="36" t="n">
        <x:f>'主料系数展开'!F65</x:f>
        <x:v>0</x:v>
      </x:c>
      <x:c r="K8" s="36" t="n">
        <x:f>'主料系数展开'!F66</x:f>
        <x:v>0</x:v>
      </x:c>
      <x:c r="L8" s="36" t="n">
        <x:f>'主料系数展开'!F67</x:f>
        <x:v>0</x:v>
      </x:c>
      <x:c r="M8" s="36" t="n">
        <x:f>'主料系数展开'!F68</x:f>
        <x:v>0</x:v>
      </x:c>
      <x:c r="N8" s="36" t="n">
        <x:f>'主料系数展开'!F69</x:f>
        <x:v>0</x:v>
      </x:c>
      <x:c r="O8" s="36" t="n">
        <x:f>'主料系数展开'!F70</x:f>
        <x:v>0</x:v>
      </x:c>
      <x:c r="P8" s="36" t="n">
        <x:f>'主料系数展开'!F71</x:f>
        <x:v>0</x:v>
      </x:c>
      <x:c r="Q8" s="36" t="n">
        <x:f>'主料系数展开'!F72</x:f>
        <x:v>0</x:v>
      </x:c>
      <x:c r="R8" s="36" t="n">
        <x:f>'主料系数展开'!F73</x:f>
        <x:v>0</x:v>
      </x:c>
      <x:c r="S8" s="36" t="n">
        <x:f>'主料系数展开'!F74</x:f>
        <x:v>0</x:v>
      </x:c>
      <x:c r="T8" s="36" t="n">
        <x:f>'主料系数展开'!F75</x:f>
        <x:v>0</x:v>
      </x:c>
      <x:c r="U8" s="36" t="n">
        <x:f>'主料系数展开'!F76</x:f>
        <x:v>0</x:v>
      </x:c>
      <x:c r="V8" s="36" t="n">
        <x:f>'主料系数展开'!F77</x:f>
        <x:v>0</x:v>
      </x:c>
      <x:c r="W8" s="36" t="n">
        <x:f>'主料系数展开'!F78</x:f>
        <x:v>0</x:v>
      </x:c>
      <x:c r="X8" s="36" t="n">
        <x:f>'主料系数展开'!F79</x:f>
        <x:v>0</x:v>
      </x:c>
      <x:c r="Y8" s="36" t="n">
        <x:f>'主料系数展开'!F80</x:f>
        <x:v>0.17072754531160486</x:v>
      </x:c>
      <x:c r="Z8" s="36" t="n">
        <x:f>'主料系数展开'!F81</x:f>
        <x:v>0.12177352749402304</x:v>
      </x:c>
      <x:c r="AA8" s="36" t="n">
        <x:f>'主料系数展开'!F82</x:f>
        <x:v>0</x:v>
      </x:c>
      <x:c r="AB8" s="36" t="n">
        <x:f>'主料系数展开'!F83</x:f>
        <x:v>0</x:v>
      </x:c>
      <x:c r="AC8" s="36" t="n">
        <x:f>'主料系数展开'!F84</x:f>
        <x:v>0</x:v>
      </x:c>
      <x:c r="AD8" s="36" t="n">
        <x:f>'主料系数展开'!F85</x:f>
        <x:v>0.053333333333333344</x:v>
      </x:c>
      <x:c r="AE8" s="36" t="n">
        <x:f>'主料系数展开'!F86</x:f>
        <x:v>0.13749999999999998</x:v>
      </x:c>
      <x:c r="AF8" s="36" t="n">
        <x:f>'主料系数展开'!F87</x:f>
        <x:v>0.026666666666666665</x:v>
      </x:c>
      <x:c r="AG8" s="36" t="n">
        <x:f>'主料系数展开'!F88</x:f>
        <x:v>0.0411764705882353</x:v>
      </x:c>
      <x:c r="AH8" s="36" t="n">
        <x:f>'主料系数展开'!F89</x:f>
        <x:v>0</x:v>
      </x:c>
      <x:c r="AI8" s="36" t="n">
        <x:f>'主料系数展开'!F91</x:f>
        <x:v>0</x:v>
      </x:c>
      <x:c r="AJ8" s="36" t="n">
        <x:f>'主料系数展开'!F92</x:f>
        <x:v>0</x:v>
      </x:c>
      <x:c r="AK8" s="36" t="n">
        <x:f>'主料系数展开'!F93</x:f>
        <x:v>0</x:v>
      </x:c>
      <x:c r="AL8" s="36" t="n">
        <x:f>'主料系数展开'!F94</x:f>
        <x:v>0</x:v>
      </x:c>
      <x:c r="AM8" s="36" t="n">
        <x:f>'主料系数展开'!F95</x:f>
        <x:v>0</x:v>
      </x:c>
      <x:c r="AN8" s="36" t="n">
        <x:f>'主料系数展开'!F96</x:f>
        <x:v>0</x:v>
      </x:c>
      <x:c r="AO8" s="36" t="n">
        <x:f>'主料系数展开'!F97</x:f>
        <x:v>0</x:v>
      </x:c>
      <x:c r="AP8" s="36" t="n">
        <x:f>'主料系数展开'!F98</x:f>
        <x:v>0</x:v>
      </x:c>
      <x:c r="AQ8" s="36" t="n">
        <x:f>'主料系数展开'!F99</x:f>
        <x:v>0</x:v>
      </x:c>
      <x:c r="AR8" s="36" t="n">
        <x:f>'主料系数展开'!F100</x:f>
        <x:v>0</x:v>
      </x:c>
    </x:row>
    <x:row r="9" ht="40" customHeight="1">
      <x:c r="A9" s="22" t="str">
        <x:v>R04</x:v>
      </x:c>
      <x:c r="B9" s="22" t="str">
        <x:v>大气Ar组分</x:v>
      </x:c>
      <x:c r="C9" s="22" t="str">
        <x:v>kg有效组分当量</x:v>
      </x:c>
      <x:c r="D9" s="36" t="n">
        <x:f>'主料系数展开'!G59</x:f>
        <x:v>0</x:v>
      </x:c>
      <x:c r="E9" s="36" t="n">
        <x:f>'主料系数展开'!G60</x:f>
        <x:v>0</x:v>
      </x:c>
      <x:c r="F9" s="36" t="n">
        <x:f>'主料系数展开'!G61</x:f>
        <x:v>0</x:v>
      </x:c>
      <x:c r="G9" s="36" t="n">
        <x:f>'主料系数展开'!G62</x:f>
        <x:v>0</x:v>
      </x:c>
      <x:c r="H9" s="36" t="n">
        <x:f>'主料系数展开'!G63</x:f>
        <x:v>0</x:v>
      </x:c>
      <x:c r="I9" s="36" t="n">
        <x:f>'主料系数展开'!G64</x:f>
        <x:v>0</x:v>
      </x:c>
      <x:c r="J9" s="36" t="n">
        <x:f>'主料系数展开'!G65</x:f>
        <x:v>0</x:v>
      </x:c>
      <x:c r="K9" s="36" t="n">
        <x:f>'主料系数展开'!G66</x:f>
        <x:v>0</x:v>
      </x:c>
      <x:c r="L9" s="36" t="n">
        <x:f>'主料系数展开'!G67</x:f>
        <x:v>0</x:v>
      </x:c>
      <x:c r="M9" s="36" t="n">
        <x:f>'主料系数展开'!G68</x:f>
        <x:v>0</x:v>
      </x:c>
      <x:c r="N9" s="36" t="n">
        <x:f>'主料系数展开'!G69</x:f>
        <x:v>0</x:v>
      </x:c>
      <x:c r="O9" s="36" t="n">
        <x:f>'主料系数展开'!G70</x:f>
        <x:v>0</x:v>
      </x:c>
      <x:c r="P9" s="36" t="n">
        <x:f>'主料系数展开'!G71</x:f>
        <x:v>0</x:v>
      </x:c>
      <x:c r="Q9" s="36" t="n">
        <x:f>'主料系数展开'!G72</x:f>
        <x:v>0</x:v>
      </x:c>
      <x:c r="R9" s="36" t="n">
        <x:f>'主料系数展开'!G73</x:f>
        <x:v>0</x:v>
      </x:c>
      <x:c r="S9" s="36" t="n">
        <x:f>'主料系数展开'!G74</x:f>
        <x:v>0</x:v>
      </x:c>
      <x:c r="T9" s="36" t="n">
        <x:f>'主料系数展开'!G75</x:f>
        <x:v>0</x:v>
      </x:c>
      <x:c r="U9" s="36" t="n">
        <x:f>'主料系数展开'!G76</x:f>
        <x:v>0</x:v>
      </x:c>
      <x:c r="V9" s="36" t="n">
        <x:f>'主料系数展开'!G77</x:f>
        <x:v>0</x:v>
      </x:c>
      <x:c r="W9" s="36" t="n">
        <x:f>'主料系数展开'!G78</x:f>
        <x:v>0</x:v>
      </x:c>
      <x:c r="X9" s="36" t="n">
        <x:f>'主料系数展开'!G79</x:f>
        <x:v>0</x:v>
      </x:c>
      <x:c r="Y9" s="36" t="n">
        <x:f>'主料系数展开'!G80</x:f>
        <x:v>0</x:v>
      </x:c>
      <x:c r="Z9" s="36" t="n">
        <x:f>'主料系数展开'!G81</x:f>
        <x:v>0</x:v>
      </x:c>
      <x:c r="AA9" s="36" t="n">
        <x:f>'主料系数展开'!G82</x:f>
        <x:v>0</x:v>
      </x:c>
      <x:c r="AB9" s="36" t="n">
        <x:f>'主料系数展开'!G83</x:f>
        <x:v>0</x:v>
      </x:c>
      <x:c r="AC9" s="36" t="n">
        <x:f>'主料系数展开'!G84</x:f>
        <x:v>0</x:v>
      </x:c>
      <x:c r="AD9" s="36" t="n">
        <x:f>'主料系数展开'!G85</x:f>
        <x:v>0</x:v>
      </x:c>
      <x:c r="AE9" s="36" t="n">
        <x:f>'主料系数展开'!G86</x:f>
        <x:v>0</x:v>
      </x:c>
      <x:c r="AF9" s="36" t="n">
        <x:f>'主料系数展开'!G87</x:f>
        <x:v>0</x:v>
      </x:c>
      <x:c r="AG9" s="36" t="n">
        <x:f>'主料系数展开'!G88</x:f>
        <x:v>0</x:v>
      </x:c>
      <x:c r="AH9" s="36" t="n">
        <x:f>'主料系数展开'!G89</x:f>
        <x:v>0</x:v>
      </x:c>
      <x:c r="AI9" s="36" t="n">
        <x:f>'主料系数展开'!G91</x:f>
        <x:v>0</x:v>
      </x:c>
      <x:c r="AJ9" s="36" t="n">
        <x:f>'主料系数展开'!G92</x:f>
        <x:v>0</x:v>
      </x:c>
      <x:c r="AK9" s="36" t="n">
        <x:f>'主料系数展开'!G93</x:f>
        <x:v>0</x:v>
      </x:c>
      <x:c r="AL9" s="36" t="n">
        <x:f>'主料系数展开'!G94</x:f>
        <x:v>0</x:v>
      </x:c>
      <x:c r="AM9" s="36" t="n">
        <x:f>'主料系数展开'!G95</x:f>
        <x:v>0</x:v>
      </x:c>
      <x:c r="AN9" s="36" t="n">
        <x:f>'主料系数展开'!G96</x:f>
        <x:v>0</x:v>
      </x:c>
      <x:c r="AO9" s="36" t="n">
        <x:f>'主料系数展开'!G97</x:f>
        <x:v>0</x:v>
      </x:c>
      <x:c r="AP9" s="36" t="n">
        <x:f>'主料系数展开'!G98</x:f>
        <x:v>0</x:v>
      </x:c>
      <x:c r="AQ9" s="36" t="n">
        <x:f>'主料系数展开'!G99</x:f>
        <x:v>0</x:v>
      </x:c>
      <x:c r="AR9" s="36" t="n">
        <x:f>'主料系数展开'!G100</x:f>
        <x:v>0</x:v>
      </x:c>
    </x:row>
    <x:row r="10" ht="40" customHeight="1">
      <x:c r="A10" s="22" t="str">
        <x:v>R05</x:v>
      </x:c>
      <x:c r="B10" s="22" t="str">
        <x:v>可用玄武质风化层</x:v>
      </x:c>
      <x:c r="C10" s="22" t="str">
        <x:v>kg有效组分当量</x:v>
      </x:c>
      <x:c r="D10" s="36" t="n">
        <x:f>'主料系数展开'!H59</x:f>
        <x:v>1.0526315789473684</x:v>
      </x:c>
      <x:c r="E10" s="36" t="n">
        <x:f>'主料系数展开'!H60</x:f>
        <x:v>1.1111111111111112</x:v>
      </x:c>
      <x:c r="F10" s="36" t="n">
        <x:f>'主料系数展开'!H61</x:f>
        <x:v>1.1111111111111112</x:v>
      </x:c>
      <x:c r="G10" s="36" t="n">
        <x:f>'主料系数展开'!H62</x:f>
        <x:v>0</x:v>
      </x:c>
      <x:c r="H10" s="36" t="n">
        <x:f>'主料系数展开'!H63</x:f>
        <x:v>0</x:v>
      </x:c>
      <x:c r="I10" s="36" t="n">
        <x:f>'主料系数展开'!H64</x:f>
        <x:v>0</x:v>
      </x:c>
      <x:c r="J10" s="36" t="n">
        <x:f>'主料系数展开'!H65</x:f>
        <x:v>0</x:v>
      </x:c>
      <x:c r="K10" s="36" t="n">
        <x:f>'主料系数展开'!H66</x:f>
        <x:v>0</x:v>
      </x:c>
      <x:c r="L10" s="36" t="n">
        <x:f>'主料系数展开'!H67</x:f>
        <x:v>0</x:v>
      </x:c>
      <x:c r="M10" s="36" t="n">
        <x:f>'主料系数展开'!H68</x:f>
        <x:v>0</x:v>
      </x:c>
      <x:c r="N10" s="36" t="n">
        <x:f>'主料系数展开'!H69</x:f>
        <x:v>1.1111111111111112</x:v>
      </x:c>
      <x:c r="O10" s="36" t="n">
        <x:f>'主料系数展开'!H70</x:f>
        <x:v>0</x:v>
      </x:c>
      <x:c r="P10" s="36" t="n">
        <x:f>'主料系数展开'!H71</x:f>
        <x:v>0</x:v>
      </x:c>
      <x:c r="Q10" s="36" t="n">
        <x:f>'主料系数展开'!H72</x:f>
        <x:v>11.11111111111111</x:v>
      </x:c>
      <x:c r="R10" s="36" t="n">
        <x:f>'主料系数展开'!H73</x:f>
        <x:v>2.2222222222222223</x:v>
      </x:c>
      <x:c r="S10" s="36" t="n">
        <x:f>'主料系数展开'!H74</x:f>
        <x:v>0</x:v>
      </x:c>
      <x:c r="T10" s="36" t="n">
        <x:f>'主料系数展开'!H75</x:f>
        <x:v>0</x:v>
      </x:c>
      <x:c r="U10" s="36" t="n">
        <x:f>'主料系数展开'!H76</x:f>
        <x:v>5.555555555555555</x:v>
      </x:c>
      <x:c r="V10" s="36" t="n">
        <x:f>'主料系数展开'!H77</x:f>
        <x:v>0</x:v>
      </x:c>
      <x:c r="W10" s="36" t="n">
        <x:f>'主料系数展开'!H78</x:f>
        <x:v>0</x:v>
      </x:c>
      <x:c r="X10" s="36" t="n">
        <x:f>'主料系数展开'!H79</x:f>
        <x:v>0</x:v>
      </x:c>
      <x:c r="Y10" s="36" t="n">
        <x:f>'主料系数展开'!H80</x:f>
        <x:v>0</x:v>
      </x:c>
      <x:c r="Z10" s="36" t="n">
        <x:f>'主料系数展开'!H81</x:f>
        <x:v>0</x:v>
      </x:c>
      <x:c r="AA10" s="36" t="n">
        <x:f>'主料系数展开'!H82</x:f>
        <x:v>0</x:v>
      </x:c>
      <x:c r="AB10" s="36" t="n">
        <x:f>'主料系数展开'!H83</x:f>
        <x:v>0</x:v>
      </x:c>
      <x:c r="AC10" s="36" t="n">
        <x:f>'主料系数展开'!H84</x:f>
        <x:v>0</x:v>
      </x:c>
      <x:c r="AD10" s="36" t="n">
        <x:f>'主料系数展开'!H85</x:f>
        <x:v>0</x:v>
      </x:c>
      <x:c r="AE10" s="36" t="n">
        <x:f>'主料系数展开'!H86</x:f>
        <x:v>0</x:v>
      </x:c>
      <x:c r="AF10" s="36" t="n">
        <x:f>'主料系数展开'!H87</x:f>
        <x:v>0</x:v>
      </x:c>
      <x:c r="AG10" s="36" t="n">
        <x:f>'主料系数展开'!H88</x:f>
        <x:v>0</x:v>
      </x:c>
      <x:c r="AH10" s="36" t="n">
        <x:f>'主料系数展开'!H89</x:f>
        <x:v>1.1666666666666667</x:v>
      </x:c>
      <x:c r="AI10" s="36" t="n">
        <x:f>'主料系数展开'!H91</x:f>
        <x:v>0</x:v>
      </x:c>
      <x:c r="AJ10" s="36" t="n">
        <x:f>'主料系数展开'!H92</x:f>
        <x:v>2.2222222222222223</x:v>
      </x:c>
      <x:c r="AK10" s="36" t="n">
        <x:f>'主料系数展开'!H93</x:f>
        <x:v>19.028944911297852</x:v>
      </x:c>
      <x:c r="AL10" s="36" t="n">
        <x:f>'主料系数展开'!H94</x:f>
        <x:v>0</x:v>
      </x:c>
      <x:c r="AM10" s="36" t="n">
        <x:f>'主料系数展开'!H95</x:f>
        <x:v>5.555555555555555</x:v>
      </x:c>
      <x:c r="AN10" s="36" t="n">
        <x:f>'主料系数展开'!H96</x:f>
        <x:v>0</x:v>
      </x:c>
      <x:c r="AO10" s="36" t="n">
        <x:f>'主料系数展开'!H97</x:f>
        <x:v>0</x:v>
      </x:c>
      <x:c r="AP10" s="36" t="n">
        <x:f>'主料系数展开'!H98</x:f>
        <x:v>0</x:v>
      </x:c>
      <x:c r="AQ10" s="36" t="n">
        <x:f>'主料系数展开'!H99</x:f>
        <x:v>0</x:v>
      </x:c>
      <x:c r="AR10" s="36" t="n">
        <x:f>'主料系数展开'!H100</x:f>
        <x:v>1.1111111111111112</x:v>
      </x:c>
    </x:row>
    <x:row r="11" ht="40" customHeight="1">
      <x:c r="A11" s="22" t="str">
        <x:v>R06</x:v>
      </x:c>
      <x:c r="B11" s="22" t="str">
        <x:v>富硅原料SiO₂当量</x:v>
      </x:c>
      <x:c r="C11" s="22" t="str">
        <x:v>kg有效组分当量</x:v>
      </x:c>
      <x:c r="D11" s="36" t="n">
        <x:f>'主料系数展开'!I59</x:f>
        <x:v>0</x:v>
      </x:c>
      <x:c r="E11" s="36" t="n">
        <x:f>'主料系数展开'!I60</x:f>
        <x:v>0</x:v>
      </x:c>
      <x:c r="F11" s="36" t="n">
        <x:f>'主料系数展开'!I61</x:f>
        <x:v>0</x:v>
      </x:c>
      <x:c r="G11" s="36" t="n">
        <x:f>'主料系数展开'!I62</x:f>
        <x:v>11.578947368421051</x:v>
      </x:c>
      <x:c r="H11" s="36" t="n">
        <x:f>'主料系数展开'!I63</x:f>
        <x:v>0</x:v>
      </x:c>
      <x:c r="I11" s="36" t="n">
        <x:f>'主料系数展开'!I64</x:f>
        <x:v>0</x:v>
      </x:c>
      <x:c r="J11" s="36" t="n">
        <x:f>'主料系数展开'!I65</x:f>
        <x:v>0</x:v>
      </x:c>
      <x:c r="K11" s="36" t="n">
        <x:f>'主料系数展开'!I66</x:f>
        <x:v>0.8481969954419184</x:v>
      </x:c>
      <x:c r="L11" s="36" t="n">
        <x:f>'主料系数展开'!I67</x:f>
        <x:v>0</x:v>
      </x:c>
      <x:c r="M11" s="36" t="n">
        <x:f>'主料系数展开'!I68</x:f>
        <x:v>0</x:v>
      </x:c>
      <x:c r="N11" s="36" t="n">
        <x:f>'主料系数展开'!I69</x:f>
        <x:v>0.16963939908838369</x:v>
      </x:c>
      <x:c r="O11" s="36" t="n">
        <x:f>'主料系数展开'!I70</x:f>
        <x:v>0.6111354890178761</x:v>
      </x:c>
      <x:c r="P11" s="36" t="n">
        <x:f>'主料系数展开'!I71</x:f>
        <x:v>0.16963939908838369</x:v>
      </x:c>
      <x:c r="Q11" s="36" t="n">
        <x:f>'主料系数展开'!I72</x:f>
        <x:v>0</x:v>
      </x:c>
      <x:c r="R11" s="36" t="n">
        <x:f>'主料系数展开'!I73</x:f>
        <x:v>0</x:v>
      </x:c>
      <x:c r="S11" s="36" t="n">
        <x:f>'主料系数展开'!I74</x:f>
        <x:v>1.4767300766683276</x:v>
      </x:c>
      <x:c r="T11" s="36" t="n">
        <x:f>'主料系数展开'!I75</x:f>
        <x:v>4.529361655615696</x:v>
      </x:c>
      <x:c r="U11" s="36" t="n">
        <x:f>'主料系数展开'!I76</x:f>
        <x:v>11.748586767509435</x:v>
      </x:c>
      <x:c r="V11" s="36" t="n">
        <x:f>'主料系数展开'!I77</x:f>
        <x:v>0.02544590986325755</x:v>
      </x:c>
      <x:c r="W11" s="36" t="n">
        <x:f>'主料系数展开'!I78</x:f>
        <x:v>0</x:v>
      </x:c>
      <x:c r="X11" s="36" t="n">
        <x:f>'主料系数展开'!I79</x:f>
        <x:v>0</x:v>
      </x:c>
      <x:c r="Y11" s="36" t="n">
        <x:f>'主料系数展开'!I80</x:f>
        <x:v>0</x:v>
      </x:c>
      <x:c r="Z11" s="36" t="n">
        <x:f>'主料系数展开'!I81</x:f>
        <x:v>0</x:v>
      </x:c>
      <x:c r="AA11" s="36" t="n">
        <x:f>'主料系数展开'!I82</x:f>
        <x:v>0</x:v>
      </x:c>
      <x:c r="AB11" s="36" t="n">
        <x:f>'主料系数展开'!I83</x:f>
        <x:v>0</x:v>
      </x:c>
      <x:c r="AC11" s="36" t="n">
        <x:f>'主料系数展开'!I84</x:f>
        <x:v>0</x:v>
      </x:c>
      <x:c r="AD11" s="36" t="n">
        <x:f>'主料系数展开'!I85</x:f>
        <x:v>0</x:v>
      </x:c>
      <x:c r="AE11" s="36" t="n">
        <x:f>'主料系数展开'!I86</x:f>
        <x:v>0</x:v>
      </x:c>
      <x:c r="AF11" s="36" t="n">
        <x:f>'主料系数展开'!I87</x:f>
        <x:v>0</x:v>
      </x:c>
      <x:c r="AG11" s="36" t="n">
        <x:f>'主料系数展开'!I88</x:f>
        <x:v>0</x:v>
      </x:c>
      <x:c r="AH11" s="36" t="n">
        <x:f>'主料系数展开'!I89</x:f>
        <x:v>0.008481969954419185</x:v>
      </x:c>
      <x:c r="AI11" s="36" t="n">
        <x:f>'主料系数展开'!I91</x:f>
        <x:v>11.129665274848362</x:v>
      </x:c>
      <x:c r="AJ11" s="36" t="n">
        <x:f>'主料系数展开'!I92</x:f>
        <x:v>5.8742933837547175</x:v>
      </x:c>
      <x:c r="AK11" s="36" t="n">
        <x:f>'主料系数展开'!I93</x:f>
        <x:v>0</x:v>
      </x:c>
      <x:c r="AL11" s="36" t="n">
        <x:f>'主料系数展开'!I94</x:f>
        <x:v>0.16963939908838369</x:v>
      </x:c>
      <x:c r="AM11" s="36" t="n">
        <x:f>'主料系数展开'!I95</x:f>
        <x:v>0.2544590986325755</x:v>
      </x:c>
      <x:c r="AN11" s="36" t="n">
        <x:f>'主料系数展开'!I96</x:f>
        <x:v>0</x:v>
      </x:c>
      <x:c r="AO11" s="36" t="n">
        <x:f>'主料系数展开'!I97</x:f>
        <x:v>0</x:v>
      </x:c>
      <x:c r="AP11" s="36" t="n">
        <x:f>'主料系数展开'!I98</x:f>
        <x:v>0</x:v>
      </x:c>
      <x:c r="AQ11" s="36" t="n">
        <x:f>'主料系数展开'!I99</x:f>
        <x:v>0</x:v>
      </x:c>
      <x:c r="AR11" s="36" t="n">
        <x:f>'主料系数展开'!I100</x:f>
        <x:v>0.2544590986325755</x:v>
      </x:c>
    </x:row>
    <x:row r="12" ht="40" customHeight="1">
      <x:c r="A12" s="22" t="str">
        <x:v>R07</x:v>
      </x:c>
      <x:c r="B12" s="22" t="str">
        <x:v>铁矿Fe₂O₃当量</x:v>
      </x:c>
      <x:c r="C12" s="22" t="str">
        <x:v>kg有效组分当量</x:v>
      </x:c>
      <x:c r="D12" s="36" t="n">
        <x:f>'主料系数展开'!J59</x:f>
        <x:v>0</x:v>
      </x:c>
      <x:c r="E12" s="36" t="n">
        <x:f>'主料系数展开'!J60</x:f>
        <x:v>0</x:v>
      </x:c>
      <x:c r="F12" s="36" t="n">
        <x:f>'主料系数展开'!J61</x:f>
        <x:v>0</x:v>
      </x:c>
      <x:c r="G12" s="36" t="n">
        <x:f>'主料系数展开'!J62</x:f>
        <x:v>0</x:v>
      </x:c>
      <x:c r="H12" s="36" t="n">
        <x:f>'主料系数展开'!J63</x:f>
        <x:v>1.426874617244158</x:v>
      </x:c>
      <x:c r="I12" s="36" t="n">
        <x:f>'主料系数展开'!J64</x:f>
        <x:v>0</x:v>
      </x:c>
      <x:c r="J12" s="36" t="n">
        <x:f>'主料系数展开'!J65</x:f>
        <x:v>0</x:v>
      </x:c>
      <x:c r="K12" s="36" t="n">
        <x:f>'主料系数展开'!J66</x:f>
        <x:v>0</x:v>
      </x:c>
      <x:c r="L12" s="36" t="n">
        <x:f>'主料系数展开'!J67</x:f>
        <x:v>0</x:v>
      </x:c>
      <x:c r="M12" s="36" t="n">
        <x:f>'主料系数展开'!J68</x:f>
        <x:v>1.426874617244158</x:v>
      </x:c>
      <x:c r="N12" s="36" t="n">
        <x:f>'主料系数展开'!J69</x:f>
        <x:v>17.122495406929897</x:v>
      </x:c>
      <x:c r="O12" s="36" t="n">
        <x:f>'主料系数展开'!J70</x:f>
        <x:v>14.26874617244158</x:v>
      </x:c>
      <x:c r="P12" s="36" t="n">
        <x:f>'主料系数展开'!J71</x:f>
        <x:v>85.61247703464947</x:v>
      </x:c>
      <x:c r="Q12" s="36" t="n">
        <x:f>'主料系数展开'!J72</x:f>
        <x:v>7.13437308622079</x:v>
      </x:c>
      <x:c r="R12" s="36" t="n">
        <x:f>'主料系数展开'!J73</x:f>
        <x:v>142.6874617244158</x:v>
      </x:c>
      <x:c r="S12" s="36" t="n">
        <x:f>'主料系数展开'!J74</x:f>
        <x:v>28.53749234488316</x:v>
      </x:c>
      <x:c r="T12" s="36" t="n">
        <x:f>'主料系数展开'!J75</x:f>
        <x:v>28.53749234488316</x:v>
      </x:c>
      <x:c r="U12" s="36" t="n">
        <x:f>'主料系数展开'!J76</x:f>
        <x:v>28.53749234488316</x:v>
      </x:c>
      <x:c r="V12" s="36" t="n">
        <x:f>'主料系数展开'!J77</x:f>
        <x:v>1.2841871555197422</x:v>
      </x:c>
      <x:c r="W12" s="36" t="n">
        <x:f>'主料系数展开'!J78</x:f>
        <x:v>0</x:v>
      </x:c>
      <x:c r="X12" s="36" t="n">
        <x:f>'主料系数展开'!J79</x:f>
        <x:v>0</x:v>
      </x:c>
      <x:c r="Y12" s="36" t="n">
        <x:f>'主料系数展开'!J80</x:f>
        <x:v>0</x:v>
      </x:c>
      <x:c r="Z12" s="36" t="n">
        <x:f>'主料系数展开'!J81</x:f>
        <x:v>0</x:v>
      </x:c>
      <x:c r="AA12" s="36" t="n">
        <x:f>'主料系数展开'!J82</x:f>
        <x:v>0</x:v>
      </x:c>
      <x:c r="AB12" s="36" t="n">
        <x:f>'主料系数展开'!J83</x:f>
        <x:v>0</x:v>
      </x:c>
      <x:c r="AC12" s="36" t="n">
        <x:f>'主料系数展开'!J84</x:f>
        <x:v>0</x:v>
      </x:c>
      <x:c r="AD12" s="36" t="n">
        <x:f>'主料系数展开'!J85</x:f>
        <x:v>0</x:v>
      </x:c>
      <x:c r="AE12" s="36" t="n">
        <x:f>'主料系数展开'!J86</x:f>
        <x:v>0</x:v>
      </x:c>
      <x:c r="AF12" s="36" t="n">
        <x:f>'主料系数展开'!J87</x:f>
        <x:v>0</x:v>
      </x:c>
      <x:c r="AG12" s="36" t="n">
        <x:f>'主料系数展开'!J88</x:f>
        <x:v>0</x:v>
      </x:c>
      <x:c r="AH12" s="36" t="n">
        <x:f>'主料系数展开'!J89</x:f>
        <x:v>7.990497856567284</x:v>
      </x:c>
      <x:c r="AI12" s="36" t="n">
        <x:f>'主料系数展开'!J91</x:f>
        <x:v>0</x:v>
      </x:c>
      <x:c r="AJ12" s="36" t="n">
        <x:f>'主料系数展开'!J92</x:f>
        <x:v>8.561247703464948</x:v>
      </x:c>
      <x:c r="AK12" s="36" t="n">
        <x:f>'主料系数展开'!J93</x:f>
        <x:v>2.853749234488316</x:v>
      </x:c>
      <x:c r="AL12" s="36" t="n">
        <x:f>'主料系数展开'!J94</x:f>
        <x:v>21.403119258662368</x:v>
      </x:c>
      <x:c r="AM12" s="36" t="n">
        <x:f>'主料系数展开'!J95</x:f>
        <x:v>42.806238517324736</x:v>
      </x:c>
      <x:c r="AN12" s="36" t="n">
        <x:f>'主料系数展开'!J96</x:f>
        <x:v>0</x:v>
      </x:c>
      <x:c r="AO12" s="36" t="n">
        <x:f>'主料系数展开'!J97</x:f>
        <x:v>0</x:v>
      </x:c>
      <x:c r="AP12" s="36" t="n">
        <x:f>'主料系数展开'!J98</x:f>
        <x:v>0</x:v>
      </x:c>
      <x:c r="AQ12" s="36" t="n">
        <x:f>'主料系数展开'!J99</x:f>
        <x:v>18.557948428686544</x:v>
      </x:c>
      <x:c r="AR12" s="36" t="n">
        <x:f>'主料系数展开'!J100</x:f>
        <x:v>85.61247703464947</x:v>
      </x:c>
    </x:row>
    <x:row r="13" ht="40" customHeight="1">
      <x:c r="A13" s="22" t="str">
        <x:v>R08</x:v>
      </x:c>
      <x:c r="B13" s="22" t="str">
        <x:v>碳酸钙原料CaCO₃当量</x:v>
      </x:c>
      <x:c r="C13" s="22" t="str">
        <x:v>kg有效组分当量</x:v>
      </x:c>
      <x:c r="D13" s="36" t="n">
        <x:f>'主料系数展开'!K59</x:f>
        <x:v>0</x:v>
      </x:c>
      <x:c r="E13" s="36" t="n">
        <x:f>'主料系数展开'!K60</x:f>
        <x:v>0</x:v>
      </x:c>
      <x:c r="F13" s="36" t="n">
        <x:f>'主料系数展开'!K61</x:f>
        <x:v>0</x:v>
      </x:c>
      <x:c r="G13" s="36" t="n">
        <x:f>'主料系数展开'!K62</x:f>
        <x:v>0</x:v>
      </x:c>
      <x:c r="H13" s="36" t="n">
        <x:f>'主料系数展开'!K63</x:f>
        <x:v>0</x:v>
      </x:c>
      <x:c r="I13" s="36" t="n">
        <x:f>'主料系数展开'!K64</x:f>
        <x:v>0</x:v>
      </x:c>
      <x:c r="J13" s="36" t="n">
        <x:f>'主料系数展开'!K65</x:f>
        <x:v>0</x:v>
      </x:c>
      <x:c r="K13" s="36" t="n">
        <x:f>'主料系数展开'!K66</x:f>
        <x:v>0</x:v>
      </x:c>
      <x:c r="L13" s="36" t="n">
        <x:f>'主料系数展开'!K67</x:f>
        <x:v>0</x:v>
      </x:c>
      <x:c r="M13" s="36" t="n">
        <x:f>'主料系数展开'!K68</x:f>
        <x:v>0</x:v>
      </x:c>
      <x:c r="N13" s="36" t="n">
        <x:f>'主料系数展开'!K69</x:f>
        <x:v>0</x:v>
      </x:c>
      <x:c r="O13" s="36" t="n">
        <x:f>'主料系数展开'!K70</x:f>
        <x:v>0</x:v>
      </x:c>
      <x:c r="P13" s="36" t="n">
        <x:f>'主料系数展开'!K71</x:f>
        <x:v>0</x:v>
      </x:c>
      <x:c r="Q13" s="36" t="n">
        <x:f>'主料系数展开'!K72</x:f>
        <x:v>0</x:v>
      </x:c>
      <x:c r="R13" s="36" t="n">
        <x:f>'主料系数展开'!K73</x:f>
        <x:v>0</x:v>
      </x:c>
      <x:c r="S13" s="36" t="n">
        <x:f>'主料系数展开'!K74</x:f>
        <x:v>0</x:v>
      </x:c>
      <x:c r="T13" s="36" t="n">
        <x:f>'主料系数展开'!K75</x:f>
        <x:v>0</x:v>
      </x:c>
      <x:c r="U13" s="36" t="n">
        <x:f>'主料系数展开'!K76</x:f>
        <x:v>0</x:v>
      </x:c>
      <x:c r="V13" s="36" t="n">
        <x:f>'主料系数展开'!K77</x:f>
        <x:v>0</x:v>
      </x:c>
      <x:c r="W13" s="36" t="n">
        <x:f>'主料系数展开'!K78</x:f>
        <x:v>0</x:v>
      </x:c>
      <x:c r="X13" s="36" t="n">
        <x:f>'主料系数展开'!K79</x:f>
        <x:v>0</x:v>
      </x:c>
      <x:c r="Y13" s="36" t="n">
        <x:f>'主料系数展开'!K80</x:f>
        <x:v>0.609960630401131</x:v>
      </x:c>
      <x:c r="Z13" s="36" t="n">
        <x:f>'主料系数展开'!K81</x:f>
        <x:v>0</x:v>
      </x:c>
      <x:c r="AA13" s="36" t="n">
        <x:f>'主料系数展开'!K82</x:f>
        <x:v>0</x:v>
      </x:c>
      <x:c r="AB13" s="36" t="n">
        <x:f>'主料系数展开'!K83</x:f>
        <x:v>0</x:v>
      </x:c>
      <x:c r="AC13" s="36" t="n">
        <x:f>'主料系数展开'!K84</x:f>
        <x:v>0</x:v>
      </x:c>
      <x:c r="AD13" s="36" t="n">
        <x:f>'主料系数展开'!K85</x:f>
        <x:v>0.1761834353695497</x:v>
      </x:c>
      <x:c r="AE13" s="36" t="n">
        <x:f>'主料系数展开'!K86</x:f>
        <x:v>0.4670134452370896</x:v>
      </x:c>
      <x:c r="AF13" s="36" t="n">
        <x:f>'主料系数展开'!K87</x:f>
        <x:v>0.08665558845811161</x:v>
      </x:c>
      <x:c r="AG13" s="36" t="n">
        <x:f>'主料系数展开'!K88</x:f>
        <x:v>0.13760794189560444</x:v>
      </x:c>
      <x:c r="AH13" s="36" t="n">
        <x:f>'主料系数展开'!K89</x:f>
        <x:v>0</x:v>
      </x:c>
      <x:c r="AI13" s="36" t="n">
        <x:f>'主料系数展开'!K91</x:f>
        <x:v>0</x:v>
      </x:c>
      <x:c r="AJ13" s="36" t="n">
        <x:f>'主料系数展开'!K92</x:f>
        <x:v>0</x:v>
      </x:c>
      <x:c r="AK13" s="36" t="n">
        <x:f>'主料系数展开'!K93</x:f>
        <x:v>0</x:v>
      </x:c>
      <x:c r="AL13" s="36" t="n">
        <x:f>'主料系数展开'!K94</x:f>
        <x:v>0</x:v>
      </x:c>
      <x:c r="AM13" s="36" t="n">
        <x:f>'主料系数展开'!K95</x:f>
        <x:v>0</x:v>
      </x:c>
      <x:c r="AN13" s="36" t="n">
        <x:f>'主料系数展开'!K96</x:f>
        <x:v>0</x:v>
      </x:c>
      <x:c r="AO13" s="36" t="n">
        <x:f>'主料系数展开'!K97</x:f>
        <x:v>0</x:v>
      </x:c>
      <x:c r="AP13" s="36" t="n">
        <x:f>'主料系数展开'!K98</x:f>
        <x:v>0</x:v>
      </x:c>
      <x:c r="AQ13" s="36" t="n">
        <x:f>'主料系数展开'!K99</x:f>
        <x:v>0</x:v>
      </x:c>
      <x:c r="AR13" s="36" t="n">
        <x:f>'主料系数展开'!K100</x:f>
        <x:v>0</x:v>
      </x:c>
    </x:row>
    <x:row r="14" ht="40" customHeight="1">
      <x:c r="A14" s="22" t="str">
        <x:v>R09</x:v>
      </x:c>
      <x:c r="B14" s="22" t="str">
        <x:v>天然硫S</x:v>
      </x:c>
      <x:c r="C14" s="22" t="str">
        <x:v>kg有效组分当量</x:v>
      </x:c>
      <x:c r="D14" s="36" t="n">
        <x:f>'主料系数展开'!L59</x:f>
        <x:v>0</x:v>
      </x:c>
      <x:c r="E14" s="36" t="n">
        <x:f>'主料系数展开'!L60</x:f>
        <x:v>0</x:v>
      </x:c>
      <x:c r="F14" s="36" t="n">
        <x:f>'主料系数展开'!L61</x:f>
        <x:v>0</x:v>
      </x:c>
      <x:c r="G14" s="36" t="n">
        <x:f>'主料系数展开'!L62</x:f>
        <x:v>0</x:v>
      </x:c>
      <x:c r="H14" s="36" t="n">
        <x:f>'主料系数展开'!L63</x:f>
        <x:v>0</x:v>
      </x:c>
      <x:c r="I14" s="36" t="n">
        <x:f>'主料系数展开'!L64</x:f>
        <x:v>0</x:v>
      </x:c>
      <x:c r="J14" s="36" t="n">
        <x:f>'主料系数展开'!L65</x:f>
        <x:v>0</x:v>
      </x:c>
      <x:c r="K14" s="36" t="n">
        <x:f>'主料系数展开'!L66</x:f>
        <x:v>0</x:v>
      </x:c>
      <x:c r="L14" s="36" t="n">
        <x:f>'主料系数展开'!L67</x:f>
        <x:v>0</x:v>
      </x:c>
      <x:c r="M14" s="36" t="n">
        <x:f>'主料系数展开'!L68</x:f>
        <x:v>0</x:v>
      </x:c>
      <x:c r="N14" s="36" t="n">
        <x:f>'主料系数展开'!L69</x:f>
        <x:v>0</x:v>
      </x:c>
      <x:c r="O14" s="36" t="n">
        <x:f>'主料系数展开'!L70</x:f>
        <x:v>0</x:v>
      </x:c>
      <x:c r="P14" s="36" t="n">
        <x:f>'主料系数展开'!L71</x:f>
        <x:v>0</x:v>
      </x:c>
      <x:c r="Q14" s="36" t="n">
        <x:f>'主料系数展开'!L72</x:f>
        <x:v>0</x:v>
      </x:c>
      <x:c r="R14" s="36" t="n">
        <x:f>'主料系数展开'!L73</x:f>
        <x:v>0</x:v>
      </x:c>
      <x:c r="S14" s="36" t="n">
        <x:f>'主料系数展开'!L74</x:f>
        <x:v>0</x:v>
      </x:c>
      <x:c r="T14" s="36" t="n">
        <x:f>'主料系数展开'!L75</x:f>
        <x:v>0</x:v>
      </x:c>
      <x:c r="U14" s="36" t="n">
        <x:f>'主料系数展开'!L76</x:f>
        <x:v>0</x:v>
      </x:c>
      <x:c r="V14" s="36" t="n">
        <x:f>'主料系数展开'!L77</x:f>
        <x:v>0</x:v>
      </x:c>
      <x:c r="W14" s="36" t="n">
        <x:f>'主料系数展开'!L78</x:f>
        <x:v>0</x:v>
      </x:c>
      <x:c r="X14" s="36" t="n">
        <x:f>'主料系数展开'!L79</x:f>
        <x:v>0</x:v>
      </x:c>
      <x:c r="Y14" s="36" t="n">
        <x:f>'主料系数展开'!L80</x:f>
        <x:v>0</x:v>
      </x:c>
      <x:c r="Z14" s="36" t="n">
        <x:f>'主料系数展开'!L81</x:f>
        <x:v>0.464536694921394</x:v>
      </x:c>
      <x:c r="AA14" s="36" t="n">
        <x:f>'主料系数展开'!L82</x:f>
        <x:v>0.18398641048596287</x:v>
      </x:c>
      <x:c r="AB14" s="36" t="n">
        <x:f>'主料系数展开'!L83</x:f>
        <x:v>0</x:v>
      </x:c>
      <x:c r="AC14" s="36" t="n">
        <x:f>'主料系数展开'!L84</x:f>
        <x:v>0</x:v>
      </x:c>
      <x:c r="AD14" s="36" t="n">
        <x:f>'主料系数展开'!L85</x:f>
        <x:v>0.038111768893507356</x:v>
      </x:c>
      <x:c r="AE14" s="36" t="n">
        <x:f>'主料系数展开'!L86</x:f>
        <x:v>0.054576219348424895</x:v>
      </x:c>
      <x:c r="AF14" s="36" t="n">
        <x:f>'主料系数展开'!L87</x:f>
        <x:v>0.02560036397733073</x:v>
      </x:c>
      <x:c r="AG14" s="36" t="n">
        <x:f>'主料系数展开'!L88</x:f>
        <x:v>0.03426503962476108</x:v>
      </x:c>
      <x:c r="AH14" s="36" t="n">
        <x:f>'主料系数展开'!L89</x:f>
        <x:v>0</x:v>
      </x:c>
      <x:c r="AI14" s="36" t="n">
        <x:f>'主料系数展开'!L91</x:f>
        <x:v>0</x:v>
      </x:c>
      <x:c r="AJ14" s="36" t="n">
        <x:f>'主料系数展开'!L92</x:f>
        <x:v>0</x:v>
      </x:c>
      <x:c r="AK14" s="36" t="n">
        <x:f>'主料系数展开'!L93</x:f>
        <x:v>0</x:v>
      </x:c>
      <x:c r="AL14" s="36" t="n">
        <x:f>'主料系数展开'!L94</x:f>
        <x:v>0</x:v>
      </x:c>
      <x:c r="AM14" s="36" t="n">
        <x:f>'主料系数展开'!L95</x:f>
        <x:v>0</x:v>
      </x:c>
      <x:c r="AN14" s="36" t="n">
        <x:f>'主料系数展开'!L96</x:f>
        <x:v>0</x:v>
      </x:c>
      <x:c r="AO14" s="36" t="n">
        <x:f>'主料系数展开'!L97</x:f>
        <x:v>0</x:v>
      </x:c>
      <x:c r="AP14" s="36" t="n">
        <x:f>'主料系数展开'!L98</x:f>
        <x:v>0</x:v>
      </x:c>
      <x:c r="AQ14" s="36" t="n">
        <x:f>'主料系数展开'!L99</x:f>
        <x:v>0</x:v>
      </x:c>
      <x:c r="AR14" s="36" t="n">
        <x:f>'主料系数展开'!L100</x:f>
        <x:v>0</x:v>
      </x:c>
    </x:row>
    <x:row r="15" ht="40" customHeight="1">
      <x:c r="A15" s="22" t="str">
        <x:v>R10</x:v>
      </x:c>
      <x:c r="B15" s="22" t="str">
        <x:v>磷灰石Ca₅(PO₄)₃F当量</x:v>
      </x:c>
      <x:c r="C15" s="22" t="str">
        <x:v>kg有效组分当量</x:v>
      </x:c>
      <x:c r="D15" s="36" t="n">
        <x:f>'主料系数展开'!M59</x:f>
        <x:v>0</x:v>
      </x:c>
      <x:c r="E15" s="36" t="n">
        <x:f>'主料系数展开'!M60</x:f>
        <x:v>0</x:v>
      </x:c>
      <x:c r="F15" s="36" t="n">
        <x:f>'主料系数展开'!M61</x:f>
        <x:v>0</x:v>
      </x:c>
      <x:c r="G15" s="36" t="n">
        <x:f>'主料系数展开'!M62</x:f>
        <x:v>0</x:v>
      </x:c>
      <x:c r="H15" s="36" t="n">
        <x:f>'主料系数展开'!M63</x:f>
        <x:v>0</x:v>
      </x:c>
      <x:c r="I15" s="36" t="n">
        <x:f>'主料系数展开'!M64</x:f>
        <x:v>0</x:v>
      </x:c>
      <x:c r="J15" s="36" t="n">
        <x:f>'主料系数展开'!M65</x:f>
        <x:v>0</x:v>
      </x:c>
      <x:c r="K15" s="36" t="n">
        <x:f>'主料系数展开'!M66</x:f>
        <x:v>0</x:v>
      </x:c>
      <x:c r="L15" s="36" t="n">
        <x:f>'主料系数展开'!M67</x:f>
        <x:v>0</x:v>
      </x:c>
      <x:c r="M15" s="36" t="n">
        <x:f>'主料系数展开'!M68</x:f>
        <x:v>0</x:v>
      </x:c>
      <x:c r="N15" s="36" t="n">
        <x:f>'主料系数展开'!M69</x:f>
        <x:v>0</x:v>
      </x:c>
      <x:c r="O15" s="36" t="n">
        <x:f>'主料系数展开'!M70</x:f>
        <x:v>0</x:v>
      </x:c>
      <x:c r="P15" s="36" t="n">
        <x:f>'主料系数展开'!M71</x:f>
        <x:v>0</x:v>
      </x:c>
      <x:c r="Q15" s="36" t="n">
        <x:f>'主料系数展开'!M72</x:f>
        <x:v>0</x:v>
      </x:c>
      <x:c r="R15" s="36" t="n">
        <x:f>'主料系数展开'!M73</x:f>
        <x:v>0</x:v>
      </x:c>
      <x:c r="S15" s="36" t="n">
        <x:f>'主料系数展开'!M74</x:f>
        <x:v>0</x:v>
      </x:c>
      <x:c r="T15" s="36" t="n">
        <x:f>'主料系数展开'!M75</x:f>
        <x:v>0</x:v>
      </x:c>
      <x:c r="U15" s="36" t="n">
        <x:f>'主料系数展开'!M76</x:f>
        <x:v>0</x:v>
      </x:c>
      <x:c r="V15" s="36" t="n">
        <x:f>'主料系数展开'!M77</x:f>
        <x:v>0</x:v>
      </x:c>
      <x:c r="W15" s="36" t="n">
        <x:f>'主料系数展开'!M78</x:f>
        <x:v>0</x:v>
      </x:c>
      <x:c r="X15" s="36" t="n">
        <x:f>'主料系数展开'!M79</x:f>
        <x:v>0</x:v>
      </x:c>
      <x:c r="Y15" s="36" t="n">
        <x:f>'主料系数展开'!M80</x:f>
        <x:v>0</x:v>
      </x:c>
      <x:c r="Z15" s="36" t="n">
        <x:f>'主料系数展开'!M81</x:f>
        <x:v>1.4614156342824025</x:v>
      </x:c>
      <x:c r="AA15" s="36" t="n">
        <x:f>'主料系数展开'!M82</x:f>
        <x:v>0</x:v>
      </x:c>
      <x:c r="AB15" s="36" t="n">
        <x:f>'主料系数展开'!M83</x:f>
        <x:v>0</x:v>
      </x:c>
      <x:c r="AC15" s="36" t="n">
        <x:f>'主料系数展开'!M84</x:f>
        <x:v>0</x:v>
      </x:c>
      <x:c r="AD15" s="36" t="n">
        <x:f>'主料系数展开'!M85</x:f>
        <x:v>0.04824098586867362</x:v>
      </x:c>
      <x:c r="AE15" s="36" t="n">
        <x:f>'主料系数展开'!M86</x:f>
        <x:v>0.08140666365338672</x:v>
      </x:c>
      <x:c r="AF15" s="36" t="n">
        <x:f>'主料系数展开'!M87</x:f>
        <x:v>0.02894459152120417</x:v>
      </x:c>
      <x:c r="AG15" s="36" t="n">
        <x:f>'主料系数展开'!M88</x:f>
        <x:v>0.031924181824857546</x:v>
      </x:c>
      <x:c r="AH15" s="36" t="n">
        <x:f>'主料系数展开'!M89</x:f>
        <x:v>0</x:v>
      </x:c>
      <x:c r="AI15" s="36" t="n">
        <x:f>'主料系数展开'!M91</x:f>
        <x:v>0.00002</x:v>
      </x:c>
      <x:c r="AJ15" s="36" t="n">
        <x:f>'主料系数展开'!M92</x:f>
        <x:v>0</x:v>
      </x:c>
      <x:c r="AK15" s="36" t="n">
        <x:f>'主料系数展开'!M93</x:f>
        <x:v>0</x:v>
      </x:c>
      <x:c r="AL15" s="36" t="n">
        <x:f>'主料系数展开'!M94</x:f>
        <x:v>0</x:v>
      </x:c>
      <x:c r="AM15" s="36" t="n">
        <x:f>'主料系数展开'!M95</x:f>
        <x:v>0</x:v>
      </x:c>
      <x:c r="AN15" s="36" t="n">
        <x:f>'主料系数展开'!M96</x:f>
        <x:v>0</x:v>
      </x:c>
      <x:c r="AO15" s="36" t="n">
        <x:f>'主料系数展开'!M97</x:f>
        <x:v>0</x:v>
      </x:c>
      <x:c r="AP15" s="36" t="n">
        <x:f>'主料系数展开'!M98</x:f>
        <x:v>0</x:v>
      </x:c>
      <x:c r="AQ15" s="36" t="n">
        <x:f>'主料系数展开'!M99</x:f>
        <x:v>0</x:v>
      </x:c>
      <x:c r="AR15" s="36" t="n">
        <x:f>'主料系数展开'!M100</x:f>
        <x:v>0</x:v>
      </x:c>
    </x:row>
    <x:row r="16" ht="40" customHeight="1">
      <x:c r="A16" s="22" t="str">
        <x:v>R11</x:v>
      </x:c>
      <x:c r="B16" s="22" t="str">
        <x:v>可选钾盐KCl</x:v>
      </x:c>
      <x:c r="C16" s="22" t="str">
        <x:v>kg有效组分当量</x:v>
      </x:c>
      <x:c r="D16" s="36" t="n">
        <x:f>'主料系数展开'!N59</x:f>
        <x:v>0</x:v>
      </x:c>
      <x:c r="E16" s="36" t="n">
        <x:f>'主料系数展开'!N60</x:f>
        <x:v>0</x:v>
      </x:c>
      <x:c r="F16" s="36" t="n">
        <x:f>'主料系数展开'!N61</x:f>
        <x:v>0</x:v>
      </x:c>
      <x:c r="G16" s="36" t="n">
        <x:f>'主料系数展开'!N62</x:f>
        <x:v>0</x:v>
      </x:c>
      <x:c r="H16" s="36" t="n">
        <x:f>'主料系数展开'!N63</x:f>
        <x:v>0</x:v>
      </x:c>
      <x:c r="I16" s="36" t="n">
        <x:f>'主料系数展开'!N64</x:f>
        <x:v>0</x:v>
      </x:c>
      <x:c r="J16" s="36" t="n">
        <x:f>'主料系数展开'!N65</x:f>
        <x:v>0</x:v>
      </x:c>
      <x:c r="K16" s="36" t="n">
        <x:f>'主料系数展开'!N66</x:f>
        <x:v>0</x:v>
      </x:c>
      <x:c r="L16" s="36" t="n">
        <x:f>'主料系数展开'!N67</x:f>
        <x:v>0</x:v>
      </x:c>
      <x:c r="M16" s="36" t="n">
        <x:f>'主料系数展开'!N68</x:f>
        <x:v>0</x:v>
      </x:c>
      <x:c r="N16" s="36" t="n">
        <x:f>'主料系数展开'!N69</x:f>
        <x:v>0</x:v>
      </x:c>
      <x:c r="O16" s="36" t="n">
        <x:f>'主料系数展开'!N70</x:f>
        <x:v>0</x:v>
      </x:c>
      <x:c r="P16" s="36" t="n">
        <x:f>'主料系数展开'!N71</x:f>
        <x:v>0</x:v>
      </x:c>
      <x:c r="Q16" s="36" t="n">
        <x:f>'主料系数展开'!N72</x:f>
        <x:v>0</x:v>
      </x:c>
      <x:c r="R16" s="36" t="n">
        <x:f>'主料系数展开'!N73</x:f>
        <x:v>0</x:v>
      </x:c>
      <x:c r="S16" s="36" t="n">
        <x:f>'主料系数展开'!N74</x:f>
        <x:v>0</x:v>
      </x:c>
      <x:c r="T16" s="36" t="n">
        <x:f>'主料系数展开'!N75</x:f>
        <x:v>0</x:v>
      </x:c>
      <x:c r="U16" s="36" t="n">
        <x:f>'主料系数展开'!N76</x:f>
        <x:v>0</x:v>
      </x:c>
      <x:c r="V16" s="36" t="n">
        <x:f>'主料系数展开'!N77</x:f>
        <x:v>0</x:v>
      </x:c>
      <x:c r="W16" s="36" t="n">
        <x:f>'主料系数展开'!N78</x:f>
        <x:v>0</x:v>
      </x:c>
      <x:c r="X16" s="36" t="n">
        <x:f>'主料系数展开'!N79</x:f>
        <x:v>0</x:v>
      </x:c>
      <x:c r="Y16" s="36" t="n">
        <x:f>'主料系数展开'!N80</x:f>
        <x:v>0</x:v>
      </x:c>
      <x:c r="Z16" s="36" t="n">
        <x:f>'主料系数展开'!N81</x:f>
        <x:v>0</x:v>
      </x:c>
      <x:c r="AA16" s="36" t="n">
        <x:f>'主料系数展开'!N82</x:f>
        <x:v>0.8556343686155682</x:v>
      </x:c>
      <x:c r="AB16" s="36" t="n">
        <x:f>'主料系数展开'!N83</x:f>
        <x:v>0</x:v>
      </x:c>
      <x:c r="AC16" s="36" t="n">
        <x:f>'主料系数展开'!N84</x:f>
        <x:v>0</x:v>
      </x:c>
      <x:c r="AD16" s="36" t="n">
        <x:f>'主料系数展开'!N85</x:f>
        <x:v>0.10592755526000194</x:v>
      </x:c>
      <x:c r="AE16" s="36" t="n">
        <x:f>'主料系数展开'!N86</x:f>
        <x:v>0.13346871962760246</x:v>
      </x:c>
      <x:c r="AF16" s="36" t="n">
        <x:f>'主料系数展开'!N87</x:f>
        <x:v>0.07626783978720138</x:v>
      </x:c>
      <x:c r="AG16" s="36" t="n">
        <x:f>'主料系数展开'!N88</x:f>
        <x:v>0.112158587922355</x:v>
      </x:c>
      <x:c r="AH16" s="36" t="n">
        <x:f>'主料系数展开'!N89</x:f>
        <x:v>0</x:v>
      </x:c>
      <x:c r="AI16" s="36" t="n">
        <x:f>'主料系数展开'!N91</x:f>
        <x:v>0</x:v>
      </x:c>
      <x:c r="AJ16" s="36" t="n">
        <x:f>'主料系数展开'!N92</x:f>
        <x:v>0</x:v>
      </x:c>
      <x:c r="AK16" s="36" t="n">
        <x:f>'主料系数展开'!N93</x:f>
        <x:v>0</x:v>
      </x:c>
      <x:c r="AL16" s="36" t="n">
        <x:f>'主料系数展开'!N94</x:f>
        <x:v>0.6643614651100616</x:v>
      </x:c>
      <x:c r="AM16" s="36" t="n">
        <x:f>'主料系数展开'!N95</x:f>
        <x:v>0</x:v>
      </x:c>
      <x:c r="AN16" s="36" t="n">
        <x:f>'主料系数展开'!N96</x:f>
        <x:v>0</x:v>
      </x:c>
      <x:c r="AO16" s="36" t="n">
        <x:f>'主料系数展开'!N97</x:f>
        <x:v>0</x:v>
      </x:c>
      <x:c r="AP16" s="36" t="n">
        <x:f>'主料系数展开'!N98</x:f>
        <x:v>0</x:v>
      </x:c>
      <x:c r="AQ16" s="36" t="n">
        <x:f>'主料系数展开'!N99</x:f>
        <x:v>2.657445860440246</x:v>
      </x:c>
      <x:c r="AR16" s="36" t="n">
        <x:f>'主料系数展开'!N100</x:f>
        <x:v>0</x:v>
      </x:c>
    </x:row>
    <x:row r="17" ht="40" customHeight="1">
      <x:c r="A17" s="22" t="str">
        <x:v>R12</x:v>
      </x:c>
      <x:c r="B17" s="22" t="str">
        <x:v>含水硫酸镁MgSO₄·H₂O当量</x:v>
      </x:c>
      <x:c r="C17" s="22" t="str">
        <x:v>kg有效组分当量</x:v>
      </x:c>
      <x:c r="D17" s="36" t="n">
        <x:f>'主料系数展开'!O59</x:f>
        <x:v>0</x:v>
      </x:c>
      <x:c r="E17" s="36" t="n">
        <x:f>'主料系数展开'!O60</x:f>
        <x:v>0</x:v>
      </x:c>
      <x:c r="F17" s="36" t="n">
        <x:f>'主料系数展开'!O61</x:f>
        <x:v>0</x:v>
      </x:c>
      <x:c r="G17" s="36" t="n">
        <x:f>'主料系数展开'!O62</x:f>
        <x:v>0</x:v>
      </x:c>
      <x:c r="H17" s="36" t="n">
        <x:f>'主料系数展开'!O63</x:f>
        <x:v>0</x:v>
      </x:c>
      <x:c r="I17" s="36" t="n">
        <x:f>'主料系数展开'!O64</x:f>
        <x:v>0</x:v>
      </x:c>
      <x:c r="J17" s="36" t="n">
        <x:f>'主料系数展开'!O65</x:f>
        <x:v>0</x:v>
      </x:c>
      <x:c r="K17" s="36" t="n">
        <x:f>'主料系数展开'!O66</x:f>
        <x:v>0</x:v>
      </x:c>
      <x:c r="L17" s="36" t="n">
        <x:f>'主料系数展开'!O67</x:f>
        <x:v>0</x:v>
      </x:c>
      <x:c r="M17" s="36" t="n">
        <x:f>'主料系数展开'!O68</x:f>
        <x:v>0</x:v>
      </x:c>
      <x:c r="N17" s="36" t="n">
        <x:f>'主料系数展开'!O69</x:f>
        <x:v>0</x:v>
      </x:c>
      <x:c r="O17" s="36" t="n">
        <x:f>'主料系数展开'!O70</x:f>
        <x:v>0</x:v>
      </x:c>
      <x:c r="P17" s="36" t="n">
        <x:f>'主料系数展开'!O71</x:f>
        <x:v>0</x:v>
      </x:c>
      <x:c r="Q17" s="36" t="n">
        <x:f>'主料系数展开'!O72</x:f>
        <x:v>0</x:v>
      </x:c>
      <x:c r="R17" s="36" t="n">
        <x:f>'主料系数展开'!O73</x:f>
        <x:v>0</x:v>
      </x:c>
      <x:c r="S17" s="36" t="n">
        <x:f>'主料系数展开'!O74</x:f>
        <x:v>0</x:v>
      </x:c>
      <x:c r="T17" s="36" t="n">
        <x:f>'主料系数展开'!O75</x:f>
        <x:v>0</x:v>
      </x:c>
      <x:c r="U17" s="36" t="n">
        <x:f>'主料系数展开'!O76</x:f>
        <x:v>0</x:v>
      </x:c>
      <x:c r="V17" s="36" t="n">
        <x:f>'主料系数展开'!O77</x:f>
        <x:v>0</x:v>
      </x:c>
      <x:c r="W17" s="36" t="n">
        <x:f>'主料系数展开'!O78</x:f>
        <x:v>0</x:v>
      </x:c>
      <x:c r="X17" s="36" t="n">
        <x:f>'主料系数展开'!O79</x:f>
        <x:v>0</x:v>
      </x:c>
      <x:c r="Y17" s="36" t="n">
        <x:f>'主料系数展开'!O80</x:f>
        <x:v>0</x:v>
      </x:c>
      <x:c r="Z17" s="36" t="n">
        <x:f>'主料系数展开'!O81</x:f>
        <x:v>0</x:v>
      </x:c>
      <x:c r="AA17" s="36" t="n">
        <x:f>'主料系数展开'!O82</x:f>
        <x:v>0</x:v>
      </x:c>
      <x:c r="AB17" s="36" t="n">
        <x:f>'主料系数展开'!O83</x:f>
        <x:v>0.5614405232364708</x:v>
      </x:c>
      <x:c r="AC17" s="36" t="n">
        <x:f>'主料系数展开'!O84</x:f>
        <x:v>0</x:v>
      </x:c>
      <x:c r="AD17" s="36" t="n">
        <x:f>'主料系数展开'!O85</x:f>
        <x:v>0.03795542755262978</x:v>
      </x:c>
      <x:c r="AE17" s="36" t="n">
        <x:f>'主料系数展开'!O86</x:f>
        <x:v>0.05693314132894466</x:v>
      </x:c>
      <x:c r="AF17" s="36" t="n">
        <x:f>'主料系数展开'!O87</x:f>
        <x:v>0.022773256531577864</x:v>
      </x:c>
      <x:c r="AG17" s="36" t="n">
        <x:f>'主料系数展开'!O88</x:f>
        <x:v>0.03349008313467334</x:v>
      </x:c>
      <x:c r="AH17" s="36" t="n">
        <x:f>'主料系数展开'!O89</x:f>
        <x:v>0</x:v>
      </x:c>
      <x:c r="AI17" s="36" t="n">
        <x:f>'主料系数展开'!O91</x:f>
        <x:v>0</x:v>
      </x:c>
      <x:c r="AJ17" s="36" t="n">
        <x:f>'主料系数展开'!O92</x:f>
        <x:v>0</x:v>
      </x:c>
      <x:c r="AK17" s="36" t="n">
        <x:f>'主料系数展开'!O93</x:f>
        <x:v>0</x:v>
      </x:c>
      <x:c r="AL17" s="36" t="n">
        <x:f>'主料系数展开'!O94</x:f>
        <x:v>0</x:v>
      </x:c>
      <x:c r="AM17" s="36" t="n">
        <x:f>'主料系数展开'!O95</x:f>
        <x:v>0</x:v>
      </x:c>
      <x:c r="AN17" s="36" t="n">
        <x:f>'主料系数展开'!O96</x:f>
        <x:v>0</x:v>
      </x:c>
      <x:c r="AO17" s="36" t="n">
        <x:f>'主料系数展开'!O97</x:f>
        <x:v>0</x:v>
      </x:c>
      <x:c r="AP17" s="36" t="n">
        <x:f>'主料系数展开'!O98</x:f>
        <x:v>0</x:v>
      </x:c>
      <x:c r="AQ17" s="36" t="n">
        <x:f>'主料系数展开'!O99</x:f>
        <x:v>0</x:v>
      </x:c>
      <x:c r="AR17" s="36" t="n">
        <x:f>'主料系数展开'!O100</x:f>
        <x:v>0</x:v>
      </x:c>
    </x:row>
    <x:row r="18" ht="40" customHeight="1">
      <x:c r="A18" s="22" t="str">
        <x:v>R13</x:v>
      </x:c>
      <x:c r="B18" s="22" t="str">
        <x:v>氯化钠NaCl</x:v>
      </x:c>
      <x:c r="C18" s="22" t="str">
        <x:v>kg有效组分当量</x:v>
      </x:c>
      <x:c r="D18" s="36" t="n">
        <x:f>'主料系数展开'!P59</x:f>
        <x:v>0</x:v>
      </x:c>
      <x:c r="E18" s="36" t="n">
        <x:f>'主料系数展开'!P60</x:f>
        <x:v>0</x:v>
      </x:c>
      <x:c r="F18" s="36" t="n">
        <x:f>'主料系数展开'!P61</x:f>
        <x:v>0</x:v>
      </x:c>
      <x:c r="G18" s="36" t="n">
        <x:f>'主料系数展开'!P62</x:f>
        <x:v>0</x:v>
      </x:c>
      <x:c r="H18" s="36" t="n">
        <x:f>'主料系数展开'!P63</x:f>
        <x:v>0</x:v>
      </x:c>
      <x:c r="I18" s="36" t="n">
        <x:f>'主料系数展开'!P64</x:f>
        <x:v>0</x:v>
      </x:c>
      <x:c r="J18" s="36" t="n">
        <x:f>'主料系数展开'!P65</x:f>
        <x:v>0</x:v>
      </x:c>
      <x:c r="K18" s="36" t="n">
        <x:f>'主料系数展开'!P66</x:f>
        <x:v>0</x:v>
      </x:c>
      <x:c r="L18" s="36" t="n">
        <x:f>'主料系数展开'!P67</x:f>
        <x:v>0</x:v>
      </x:c>
      <x:c r="M18" s="36" t="n">
        <x:f>'主料系数展开'!P68</x:f>
        <x:v>0</x:v>
      </x:c>
      <x:c r="N18" s="36" t="n">
        <x:f>'主料系数展开'!P69</x:f>
        <x:v>0</x:v>
      </x:c>
      <x:c r="O18" s="36" t="n">
        <x:f>'主料系数展开'!P70</x:f>
        <x:v>0</x:v>
      </x:c>
      <x:c r="P18" s="36" t="n">
        <x:f>'主料系数展开'!P71</x:f>
        <x:v>0</x:v>
      </x:c>
      <x:c r="Q18" s="36" t="n">
        <x:f>'主料系数展开'!P72</x:f>
        <x:v>0</x:v>
      </x:c>
      <x:c r="R18" s="36" t="n">
        <x:f>'主料系数展开'!P73</x:f>
        <x:v>0</x:v>
      </x:c>
      <x:c r="S18" s="36" t="n">
        <x:f>'主料系数展开'!P74</x:f>
        <x:v>0</x:v>
      </x:c>
      <x:c r="T18" s="36" t="n">
        <x:f>'主料系数展开'!P75</x:f>
        <x:v>0</x:v>
      </x:c>
      <x:c r="U18" s="36" t="n">
        <x:f>'主料系数展开'!P76</x:f>
        <x:v>0</x:v>
      </x:c>
      <x:c r="V18" s="36" t="n">
        <x:f>'主料系数展开'!P77</x:f>
        <x:v>0</x:v>
      </x:c>
      <x:c r="W18" s="36" t="n">
        <x:f>'主料系数展开'!P78</x:f>
        <x:v>0</x:v>
      </x:c>
      <x:c r="X18" s="36" t="n">
        <x:f>'主料系数展开'!P79</x:f>
        <x:v>0</x:v>
      </x:c>
      <x:c r="Y18" s="36" t="n">
        <x:f>'主料系数展开'!P80</x:f>
        <x:v>0</x:v>
      </x:c>
      <x:c r="Z18" s="36" t="n">
        <x:f>'主料系数展开'!P81</x:f>
        <x:v>0</x:v>
      </x:c>
      <x:c r="AA18" s="36" t="n">
        <x:f>'主料系数展开'!P82</x:f>
        <x:v>0</x:v>
      </x:c>
      <x:c r="AB18" s="36" t="n">
        <x:f>'主料系数展开'!P83</x:f>
        <x:v>0</x:v>
      </x:c>
      <x:c r="AC18" s="36" t="n">
        <x:f>'主料系数展开'!P84</x:f>
        <x:v>0</x:v>
      </x:c>
      <x:c r="AD18" s="36" t="n">
        <x:f>'主料系数展开'!P85</x:f>
        <x:v>0</x:v>
      </x:c>
      <x:c r="AE18" s="36" t="n">
        <x:f>'主料系数展开'!P86</x:f>
        <x:v>0</x:v>
      </x:c>
      <x:c r="AF18" s="36" t="n">
        <x:f>'主料系数展开'!P87</x:f>
        <x:v>0</x:v>
      </x:c>
      <x:c r="AG18" s="36" t="n">
        <x:f>'主料系数展开'!P88</x:f>
        <x:v>0</x:v>
      </x:c>
      <x:c r="AH18" s="36" t="n">
        <x:f>'主料系数展开'!P89</x:f>
        <x:v>0</x:v>
      </x:c>
      <x:c r="AI18" s="36" t="n">
        <x:f>'主料系数展开'!P91</x:f>
        <x:v>0</x:v>
      </x:c>
      <x:c r="AJ18" s="36" t="n">
        <x:f>'主料系数展开'!P92</x:f>
        <x:v>0</x:v>
      </x:c>
      <x:c r="AK18" s="36" t="n">
        <x:f>'主料系数展开'!P93</x:f>
        <x:v>0</x:v>
      </x:c>
      <x:c r="AL18" s="36" t="n">
        <x:f>'主料系数展开'!P94</x:f>
        <x:v>0</x:v>
      </x:c>
      <x:c r="AM18" s="36" t="n">
        <x:f>'主料系数展开'!P95</x:f>
        <x:v>0</x:v>
      </x:c>
      <x:c r="AN18" s="36" t="n">
        <x:f>'主料系数展开'!P96</x:f>
        <x:v>0</x:v>
      </x:c>
      <x:c r="AO18" s="36" t="n">
        <x:f>'主料系数展开'!P97</x:f>
        <x:v>0</x:v>
      </x:c>
      <x:c r="AP18" s="36" t="n">
        <x:f>'主料系数展开'!P98</x:f>
        <x:v>0</x:v>
      </x:c>
      <x:c r="AQ18" s="36" t="n">
        <x:f>'主料系数展开'!P99</x:f>
        <x:v>0</x:v>
      </x:c>
      <x:c r="AR18" s="36" t="n">
        <x:f>'主料系数展开'!P100</x:f>
        <x:v>0</x:v>
      </x:c>
    </x:row>
    <x:row r="19" ht="40" customHeight="1">
      <x:c r="A19" s="22" t="str">
        <x:v>R14</x:v>
      </x:c>
      <x:c r="B19" s="22" t="str">
        <x:v>铜矿CuO当量</x:v>
      </x:c>
      <x:c r="C19" s="22" t="str">
        <x:v>kg有效组分当量</x:v>
      </x:c>
      <x:c r="D19" s="36" t="n">
        <x:f>'主料系数展开'!Q59</x:f>
        <x:v>0</x:v>
      </x:c>
      <x:c r="E19" s="36" t="n">
        <x:f>'主料系数展开'!Q60</x:f>
        <x:v>0</x:v>
      </x:c>
      <x:c r="F19" s="36" t="n">
        <x:f>'主料系数展开'!Q61</x:f>
        <x:v>0</x:v>
      </x:c>
      <x:c r="G19" s="36" t="n">
        <x:f>'主料系数展开'!Q62</x:f>
        <x:v>0</x:v>
      </x:c>
      <x:c r="H19" s="36" t="n">
        <x:f>'主料系数展开'!Q63</x:f>
        <x:v>0</x:v>
      </x:c>
      <x:c r="I19" s="36" t="n">
        <x:f>'主料系数展开'!Q64</x:f>
        <x:v>1.2517703710697763</x:v>
      </x:c>
      <x:c r="J19" s="36" t="n">
        <x:f>'主料系数展开'!Q65</x:f>
        <x:v>0</x:v>
      </x:c>
      <x:c r="K19" s="36" t="n">
        <x:f>'主料系数展开'!Q66</x:f>
        <x:v>0</x:v>
      </x:c>
      <x:c r="L19" s="36" t="n">
        <x:f>'主料系数展开'!Q67</x:f>
        <x:v>0</x:v>
      </x:c>
      <x:c r="M19" s="36" t="n">
        <x:f>'主料系数展开'!Q68</x:f>
        <x:v>0</x:v>
      </x:c>
      <x:c r="N19" s="36" t="n">
        <x:f>'主料系数展开'!Q69</x:f>
        <x:v>1.8776555566046644</x:v>
      </x:c>
      <x:c r="O19" s="36" t="n">
        <x:f>'主料系数展开'!Q70</x:f>
        <x:v>2.5035407421395526</x:v>
      </x:c>
      <x:c r="P19" s="36" t="n">
        <x:f>'主料系数展开'!Q71</x:f>
        <x:v>0.6258851855348881</x:v>
      </x:c>
      <x:c r="Q19" s="36" t="n">
        <x:f>'主料系数展开'!Q72</x:f>
        <x:v>0.6258851855348881</x:v>
      </x:c>
      <x:c r="R19" s="36" t="n">
        <x:f>'主料系数展开'!Q73</x:f>
        <x:v>3.755311113209329</x:v>
      </x:c>
      <x:c r="S19" s="36" t="n">
        <x:f>'主料系数展开'!Q74</x:f>
        <x:v>1.2517703710697763</x:v>
      </x:c>
      <x:c r="T19" s="36" t="n">
        <x:f>'主料系数展开'!Q75</x:f>
        <x:v>2.5035407421395526</x:v>
      </x:c>
      <x:c r="U19" s="36" t="n">
        <x:f>'主料系数展开'!Q76</x:f>
        <x:v>0</x:v>
      </x:c>
      <x:c r="V19" s="36" t="n">
        <x:f>'主料系数展开'!Q77</x:f>
        <x:v>0</x:v>
      </x:c>
      <x:c r="W19" s="36" t="n">
        <x:f>'主料系数展开'!Q78</x:f>
        <x:v>1.0014162968558211</x:v>
      </x:c>
      <x:c r="X19" s="36" t="n">
        <x:f>'主料系数展开'!Q79</x:f>
        <x:v>0</x:v>
      </x:c>
      <x:c r="Y19" s="36" t="n">
        <x:f>'主料系数展开'!Q80</x:f>
        <x:v>0</x:v>
      </x:c>
      <x:c r="Z19" s="36" t="n">
        <x:f>'主料系数展开'!Q81</x:f>
        <x:v>0</x:v>
      </x:c>
      <x:c r="AA19" s="36" t="n">
        <x:f>'主料系数展开'!Q82</x:f>
        <x:v>0</x:v>
      </x:c>
      <x:c r="AB19" s="36" t="n">
        <x:f>'主料系数展开'!Q83</x:f>
        <x:v>0</x:v>
      </x:c>
      <x:c r="AC19" s="36" t="n">
        <x:f>'主料系数展开'!Q84</x:f>
        <x:v>0</x:v>
      </x:c>
      <x:c r="AD19" s="36" t="n">
        <x:f>'主料系数展开'!Q85</x:f>
        <x:v>0</x:v>
      </x:c>
      <x:c r="AE19" s="36" t="n">
        <x:f>'主料系数展开'!Q86</x:f>
        <x:v>0</x:v>
      </x:c>
      <x:c r="AF19" s="36" t="n">
        <x:f>'主料系数展开'!Q87</x:f>
        <x:v>0</x:v>
      </x:c>
      <x:c r="AG19" s="36" t="n">
        <x:f>'主料系数展开'!Q88</x:f>
        <x:v>0</x:v>
      </x:c>
      <x:c r="AH19" s="36" t="n">
        <x:f>'主料系数展开'!Q89</x:f>
        <x:v>0.09388277783023323</x:v>
      </x:c>
      <x:c r="AI19" s="36" t="n">
        <x:f>'主料系数展开'!Q91</x:f>
        <x:v>0.17524785194976866</x:v>
      </x:c>
      <x:c r="AJ19" s="36" t="n">
        <x:f>'主料系数展开'!Q92</x:f>
        <x:v>0.6258851855348881</x:v>
      </x:c>
      <x:c r="AK19" s="36" t="n">
        <x:f>'主料系数展开'!Q93</x:f>
        <x:v>0</x:v>
      </x:c>
      <x:c r="AL19" s="36" t="n">
        <x:f>'主料系数展开'!Q94</x:f>
        <x:v>1.2517703710697763</x:v>
      </x:c>
      <x:c r="AM19" s="36" t="n">
        <x:f>'主料系数展开'!Q95</x:f>
        <x:v>2.5035407421395526</x:v>
      </x:c>
      <x:c r="AN19" s="36" t="n">
        <x:f>'主料系数展开'!Q96</x:f>
        <x:v>0</x:v>
      </x:c>
      <x:c r="AO19" s="36" t="n">
        <x:f>'主料系数展开'!Q97</x:f>
        <x:v>0</x:v>
      </x:c>
      <x:c r="AP19" s="36" t="n">
        <x:f>'主料系数展开'!Q98</x:f>
        <x:v>0</x:v>
      </x:c>
      <x:c r="AQ19" s="36" t="n">
        <x:f>'主料系数展开'!Q99</x:f>
        <x:v>0.6258851855348881</x:v>
      </x:c>
      <x:c r="AR19" s="36" t="n">
        <x:f>'主料系数展开'!Q100</x:f>
        <x:v>5.007081484279105</x:v>
      </x:c>
    </x:row>
    <x:row r="20" ht="40" customHeight="1">
      <x:c r="A20" s="22" t="str">
        <x:v>R15</x:v>
      </x:c>
      <x:c r="B20" s="22" t="str">
        <x:v>镍矿NiO当量</x:v>
      </x:c>
      <x:c r="C20" s="22" t="str">
        <x:v>kg有效组分当量</x:v>
      </x:c>
      <x:c r="D20" s="36" t="n">
        <x:f>'主料系数展开'!R59</x:f>
        <x:v>0</x:v>
      </x:c>
      <x:c r="E20" s="36" t="n">
        <x:f>'主料系数展开'!R60</x:f>
        <x:v>0</x:v>
      </x:c>
      <x:c r="F20" s="36" t="n">
        <x:f>'主料系数展开'!R61</x:f>
        <x:v>0</x:v>
      </x:c>
      <x:c r="G20" s="36" t="n">
        <x:f>'主料系数展开'!R62</x:f>
        <x:v>0</x:v>
      </x:c>
      <x:c r="H20" s="36" t="n">
        <x:f>'主料系数展开'!R63</x:f>
        <x:v>0</x:v>
      </x:c>
      <x:c r="I20" s="36" t="n">
        <x:f>'主料系数展开'!R64</x:f>
        <x:v>0</x:v>
      </x:c>
      <x:c r="J20" s="36" t="n">
        <x:f>'主料系数展开'!R65</x:f>
        <x:v>0</x:v>
      </x:c>
      <x:c r="K20" s="36" t="n">
        <x:f>'主料系数展开'!R66</x:f>
        <x:v>0</x:v>
      </x:c>
      <x:c r="L20" s="36" t="n">
        <x:f>'主料系数展开'!R67</x:f>
        <x:v>0</x:v>
      </x:c>
      <x:c r="M20" s="36" t="n">
        <x:f>'主料系数展开'!R68</x:f>
        <x:v>0</x:v>
      </x:c>
      <x:c r="N20" s="36" t="n">
        <x:f>'主料系数展开'!R69</x:f>
        <x:v>0</x:v>
      </x:c>
      <x:c r="O20" s="36" t="n">
        <x:f>'主料系数展开'!R70</x:f>
        <x:v>0</x:v>
      </x:c>
      <x:c r="P20" s="36" t="n">
        <x:f>'主料系数展开'!R71</x:f>
        <x:v>0</x:v>
      </x:c>
      <x:c r="Q20" s="36" t="n">
        <x:f>'主料系数展开'!R72</x:f>
        <x:v>0</x:v>
      </x:c>
      <x:c r="R20" s="36" t="n">
        <x:f>'主料系数展开'!R73</x:f>
        <x:v>0</x:v>
      </x:c>
      <x:c r="S20" s="36" t="n">
        <x:f>'主料系数展开'!R74</x:f>
        <x:v>0</x:v>
      </x:c>
      <x:c r="T20" s="36" t="n">
        <x:f>'主料系数展开'!R75</x:f>
        <x:v>0</x:v>
      </x:c>
      <x:c r="U20" s="36" t="n">
        <x:f>'主料系数展开'!R76</x:f>
        <x:v>0</x:v>
      </x:c>
      <x:c r="V20" s="36" t="n">
        <x:f>'主料系数展开'!R77</x:f>
        <x:v>0</x:v>
      </x:c>
      <x:c r="W20" s="36" t="n">
        <x:f>'主料系数展开'!R78</x:f>
        <x:v>0</x:v>
      </x:c>
      <x:c r="X20" s="36" t="n">
        <x:f>'主料系数展开'!R79</x:f>
        <x:v>0</x:v>
      </x:c>
      <x:c r="Y20" s="36" t="n">
        <x:f>'主料系数展开'!R80</x:f>
        <x:v>0</x:v>
      </x:c>
      <x:c r="Z20" s="36" t="n">
        <x:f>'主料系数展开'!R81</x:f>
        <x:v>0</x:v>
      </x:c>
      <x:c r="AA20" s="36" t="n">
        <x:f>'主料系数展开'!R82</x:f>
        <x:v>0</x:v>
      </x:c>
      <x:c r="AB20" s="36" t="n">
        <x:f>'主料系数展开'!R83</x:f>
        <x:v>0</x:v>
      </x:c>
      <x:c r="AC20" s="36" t="n">
        <x:f>'主料系数展开'!R84</x:f>
        <x:v>0</x:v>
      </x:c>
      <x:c r="AD20" s="36" t="n">
        <x:f>'主料系数展开'!R85</x:f>
        <x:v>0</x:v>
      </x:c>
      <x:c r="AE20" s="36" t="n">
        <x:f>'主料系数展开'!R86</x:f>
        <x:v>0</x:v>
      </x:c>
      <x:c r="AF20" s="36" t="n">
        <x:f>'主料系数展开'!R87</x:f>
        <x:v>0</x:v>
      </x:c>
      <x:c r="AG20" s="36" t="n">
        <x:f>'主料系数展开'!R88</x:f>
        <x:v>0</x:v>
      </x:c>
      <x:c r="AH20" s="36" t="n">
        <x:f>'主料系数展开'!R89</x:f>
        <x:v>0</x:v>
      </x:c>
      <x:c r="AI20" s="36" t="n">
        <x:f>'主料系数展开'!R91</x:f>
        <x:v>0</x:v>
      </x:c>
      <x:c r="AJ20" s="36" t="n">
        <x:f>'主料系数展开'!R92</x:f>
        <x:v>0</x:v>
      </x:c>
      <x:c r="AK20" s="36" t="n">
        <x:f>'主料系数展开'!R93</x:f>
        <x:v>0</x:v>
      </x:c>
      <x:c r="AL20" s="36" t="n">
        <x:f>'主料系数展开'!R94</x:f>
        <x:v>1.2725878724890531</x:v>
      </x:c>
      <x:c r="AM20" s="36" t="n">
        <x:f>'主料系数展开'!R95</x:f>
        <x:v>0.6362939362445266</x:v>
      </x:c>
      <x:c r="AN20" s="36" t="n">
        <x:f>'主料系数展开'!R96</x:f>
        <x:v>0</x:v>
      </x:c>
      <x:c r="AO20" s="36" t="n">
        <x:f>'主料系数展开'!R97</x:f>
        <x:v>0</x:v>
      </x:c>
      <x:c r="AP20" s="36" t="n">
        <x:f>'主料系数展开'!R98</x:f>
        <x:v>0</x:v>
      </x:c>
      <x:c r="AQ20" s="36" t="n">
        <x:f>'主料系数展开'!R99</x:f>
        <x:v>4.834068624807188</x:v>
      </x:c>
      <x:c r="AR20" s="36" t="n">
        <x:f>'主料系数展开'!R100</x:f>
        <x:v>0</x:v>
      </x:c>
    </x:row>
    <x:row r="21" ht="40" customHeight="1">
      <x:c r="A21" s="22" t="str">
        <x:v>R16</x:v>
      </x:c>
      <x:c r="B21" s="22" t="str">
        <x:v>富铝矿Al₂O₃当量</x:v>
      </x:c>
      <x:c r="C21" s="22" t="str">
        <x:v>kg有效组分当量</x:v>
      </x:c>
      <x:c r="D21" s="36" t="n">
        <x:f>'主料系数展开'!S59</x:f>
        <x:v>0</x:v>
      </x:c>
      <x:c r="E21" s="36" t="n">
        <x:f>'主料系数展开'!S60</x:f>
        <x:v>0</x:v>
      </x:c>
      <x:c r="F21" s="36" t="n">
        <x:f>'主料系数展开'!S61</x:f>
        <x:v>0</x:v>
      </x:c>
      <x:c r="G21" s="36" t="n">
        <x:f>'主料系数展开'!S62</x:f>
        <x:v>0</x:v>
      </x:c>
      <x:c r="H21" s="36" t="n">
        <x:f>'主料系数展开'!S63</x:f>
        <x:v>0</x:v>
      </x:c>
      <x:c r="I21" s="36" t="n">
        <x:f>'主料系数展开'!S64</x:f>
        <x:v>0</x:v>
      </x:c>
      <x:c r="J21" s="36" t="n">
        <x:f>'主料系数展开'!S65</x:f>
        <x:v>0</x:v>
      </x:c>
      <x:c r="K21" s="36" t="n">
        <x:f>'主料系数展开'!S66</x:f>
        <x:v>0</x:v>
      </x:c>
      <x:c r="L21" s="36" t="n">
        <x:f>'主料系数展开'!S67</x:f>
        <x:v>0</x:v>
      </x:c>
      <x:c r="M21" s="36" t="n">
        <x:f>'主料系数展开'!S68</x:f>
        <x:v>0</x:v>
      </x:c>
      <x:c r="N21" s="36" t="n">
        <x:f>'主料系数展开'!S69</x:f>
        <x:v>0</x:v>
      </x:c>
      <x:c r="O21" s="36" t="n">
        <x:f>'主料系数展开'!S70</x:f>
        <x:v>0</x:v>
      </x:c>
      <x:c r="P21" s="36" t="n">
        <x:f>'主料系数展开'!S71</x:f>
        <x:v>0</x:v>
      </x:c>
      <x:c r="Q21" s="36" t="n">
        <x:f>'主料系数展开'!S72</x:f>
        <x:v>0</x:v>
      </x:c>
      <x:c r="R21" s="36" t="n">
        <x:f>'主料系数展开'!S73</x:f>
        <x:v>0</x:v>
      </x:c>
      <x:c r="S21" s="36" t="n">
        <x:f>'主料系数展开'!S74</x:f>
        <x:v>0</x:v>
      </x:c>
      <x:c r="T21" s="36" t="n">
        <x:f>'主料系数展开'!S75</x:f>
        <x:v>0</x:v>
      </x:c>
      <x:c r="U21" s="36" t="n">
        <x:f>'主料系数展开'!S76</x:f>
        <x:v>0</x:v>
      </x:c>
      <x:c r="V21" s="36" t="n">
        <x:f>'主料系数展开'!S77</x:f>
        <x:v>0</x:v>
      </x:c>
      <x:c r="W21" s="36" t="n">
        <x:f>'主料系数展开'!S78</x:f>
        <x:v>0</x:v>
      </x:c>
      <x:c r="X21" s="36" t="n">
        <x:f>'主料系数展开'!S79</x:f>
        <x:v>0</x:v>
      </x:c>
      <x:c r="Y21" s="36" t="n">
        <x:f>'主料系数展开'!S80</x:f>
        <x:v>0</x:v>
      </x:c>
      <x:c r="Z21" s="36" t="n">
        <x:f>'主料系数展开'!S81</x:f>
        <x:v>0</x:v>
      </x:c>
      <x:c r="AA21" s="36" t="n">
        <x:f>'主料系数展开'!S82</x:f>
        <x:v>0</x:v>
      </x:c>
      <x:c r="AB21" s="36" t="n">
        <x:f>'主料系数展开'!S83</x:f>
        <x:v>0</x:v>
      </x:c>
      <x:c r="AC21" s="36" t="n">
        <x:f>'主料系数展开'!S84</x:f>
        <x:v>0</x:v>
      </x:c>
      <x:c r="AD21" s="36" t="n">
        <x:f>'主料系数展开'!S85</x:f>
        <x:v>0</x:v>
      </x:c>
      <x:c r="AE21" s="36" t="n">
        <x:f>'主料系数展开'!S86</x:f>
        <x:v>0</x:v>
      </x:c>
      <x:c r="AF21" s="36" t="n">
        <x:f>'主料系数展开'!S87</x:f>
        <x:v>0</x:v>
      </x:c>
      <x:c r="AG21" s="36" t="n">
        <x:f>'主料系数展开'!S88</x:f>
        <x:v>0</x:v>
      </x:c>
      <x:c r="AH21" s="36" t="n">
        <x:f>'主料系数展开'!S89</x:f>
        <x:v>0</x:v>
      </x:c>
      <x:c r="AI21" s="36" t="n">
        <x:f>'主料系数展开'!S91</x:f>
        <x:v>1.9272148098732487</x:v>
      </x:c>
      <x:c r="AJ21" s="36" t="n">
        <x:f>'主料系数展开'!S92</x:f>
        <x:v>0</x:v>
      </x:c>
      <x:c r="AK21" s="36" t="n">
        <x:f>'主料系数展开'!S93</x:f>
        <x:v>0</x:v>
      </x:c>
      <x:c r="AL21" s="36" t="n">
        <x:f>'主料系数展开'!S94</x:f>
        <x:v>0</x:v>
      </x:c>
      <x:c r="AM21" s="36" t="n">
        <x:f>'主料系数展开'!S95</x:f>
        <x:v>0</x:v>
      </x:c>
      <x:c r="AN21" s="36" t="n">
        <x:f>'主料系数展开'!S96</x:f>
        <x:v>0</x:v>
      </x:c>
      <x:c r="AO21" s="36" t="n">
        <x:f>'主料系数展开'!S97</x:f>
        <x:v>0</x:v>
      </x:c>
      <x:c r="AP21" s="36" t="n">
        <x:f>'主料系数展开'!S98</x:f>
        <x:v>0</x:v>
      </x:c>
      <x:c r="AQ21" s="36" t="n">
        <x:f>'主料系数展开'!S99</x:f>
        <x:v>0</x:v>
      </x:c>
      <x:c r="AR21" s="36" t="n">
        <x:f>'主料系数展开'!S100</x:f>
        <x:v>0</x:v>
      </x:c>
    </x:row>
    <x:row r="22" ht="40" customHeight="1">
      <x:c r="A22" s="22" t="str">
        <x:v>R17</x:v>
      </x:c>
      <x:c r="B22" s="22" t="str">
        <x:v>可选银矿Ag₂S当量</x:v>
      </x:c>
      <x:c r="C22" s="22" t="str">
        <x:v>kg有效组分当量</x:v>
      </x:c>
      <x:c r="D22" s="36" t="n">
        <x:f>'主料系数展开'!T59</x:f>
        <x:v>0</x:v>
      </x:c>
      <x:c r="E22" s="36" t="n">
        <x:f>'主料系数展开'!T60</x:f>
        <x:v>0</x:v>
      </x:c>
      <x:c r="F22" s="36" t="n">
        <x:f>'主料系数展开'!T61</x:f>
        <x:v>0</x:v>
      </x:c>
      <x:c r="G22" s="36" t="n">
        <x:f>'主料系数展开'!T62</x:f>
        <x:v>0</x:v>
      </x:c>
      <x:c r="H22" s="36" t="n">
        <x:f>'主料系数展开'!T63</x:f>
        <x:v>0</x:v>
      </x:c>
      <x:c r="I22" s="36" t="n">
        <x:f>'主料系数展开'!T64</x:f>
        <x:v>0</x:v>
      </x:c>
      <x:c r="J22" s="36" t="n">
        <x:f>'主料系数展开'!T65</x:f>
        <x:v>0</x:v>
      </x:c>
      <x:c r="K22" s="36" t="n">
        <x:f>'主料系数展开'!T66</x:f>
        <x:v>0</x:v>
      </x:c>
      <x:c r="L22" s="36" t="n">
        <x:f>'主料系数展开'!T67</x:f>
        <x:v>0</x:v>
      </x:c>
      <x:c r="M22" s="36" t="n">
        <x:f>'主料系数展开'!T68</x:f>
        <x:v>0</x:v>
      </x:c>
      <x:c r="N22" s="36" t="n">
        <x:f>'主料系数展开'!T69</x:f>
        <x:v>0</x:v>
      </x:c>
      <x:c r="O22" s="36" t="n">
        <x:f>'主料系数展开'!T70</x:f>
        <x:v>0</x:v>
      </x:c>
      <x:c r="P22" s="36" t="n">
        <x:f>'主料系数展开'!T71</x:f>
        <x:v>0</x:v>
      </x:c>
      <x:c r="Q22" s="36" t="n">
        <x:f>'主料系数展开'!T72</x:f>
        <x:v>0</x:v>
      </x:c>
      <x:c r="R22" s="36" t="n">
        <x:f>'主料系数展开'!T73</x:f>
        <x:v>0</x:v>
      </x:c>
      <x:c r="S22" s="36" t="n">
        <x:f>'主料系数展开'!T74</x:f>
        <x:v>0</x:v>
      </x:c>
      <x:c r="T22" s="36" t="n">
        <x:f>'主料系数展开'!T75</x:f>
        <x:v>0</x:v>
      </x:c>
      <x:c r="U22" s="36" t="n">
        <x:f>'主料系数展开'!T76</x:f>
        <x:v>0</x:v>
      </x:c>
      <x:c r="V22" s="36" t="n">
        <x:f>'主料系数展开'!T77</x:f>
        <x:v>0</x:v>
      </x:c>
      <x:c r="W22" s="36" t="n">
        <x:f>'主料系数展开'!T78</x:f>
        <x:v>0</x:v>
      </x:c>
      <x:c r="X22" s="36" t="n">
        <x:f>'主料系数展开'!T79</x:f>
        <x:v>0</x:v>
      </x:c>
      <x:c r="Y22" s="36" t="n">
        <x:f>'主料系数展开'!T80</x:f>
        <x:v>0</x:v>
      </x:c>
      <x:c r="Z22" s="36" t="n">
        <x:f>'主料系数展开'!T81</x:f>
        <x:v>0</x:v>
      </x:c>
      <x:c r="AA22" s="36" t="n">
        <x:f>'主料系数展开'!T82</x:f>
        <x:v>0</x:v>
      </x:c>
      <x:c r="AB22" s="36" t="n">
        <x:f>'主料系数展开'!T83</x:f>
        <x:v>0</x:v>
      </x:c>
      <x:c r="AC22" s="36" t="n">
        <x:f>'主料系数展开'!T84</x:f>
        <x:v>0</x:v>
      </x:c>
      <x:c r="AD22" s="36" t="n">
        <x:f>'主料系数展开'!T85</x:f>
        <x:v>0</x:v>
      </x:c>
      <x:c r="AE22" s="36" t="n">
        <x:f>'主料系数展开'!T86</x:f>
        <x:v>0</x:v>
      </x:c>
      <x:c r="AF22" s="36" t="n">
        <x:f>'主料系数展开'!T87</x:f>
        <x:v>0</x:v>
      </x:c>
      <x:c r="AG22" s="36" t="n">
        <x:f>'主料系数展开'!T88</x:f>
        <x:v>0</x:v>
      </x:c>
      <x:c r="AH22" s="36" t="n">
        <x:f>'主料系数展开'!T89</x:f>
        <x:v>0</x:v>
      </x:c>
      <x:c r="AI22" s="36" t="n">
        <x:f>'主料系数展开'!T91</x:f>
        <x:v>0.009188858254796132</x:v>
      </x:c>
      <x:c r="AJ22" s="36" t="n">
        <x:f>'主料系数展开'!T92</x:f>
        <x:v>0</x:v>
      </x:c>
      <x:c r="AK22" s="36" t="n">
        <x:f>'主料系数展开'!T93</x:f>
        <x:v>0</x:v>
      </x:c>
      <x:c r="AL22" s="36" t="n">
        <x:f>'主料系数展开'!T94</x:f>
        <x:v>0</x:v>
      </x:c>
      <x:c r="AM22" s="36" t="n">
        <x:f>'主料系数展开'!T95</x:f>
        <x:v>0</x:v>
      </x:c>
      <x:c r="AN22" s="36" t="n">
        <x:f>'主料系数展开'!T96</x:f>
        <x:v>0</x:v>
      </x:c>
      <x:c r="AO22" s="36" t="n">
        <x:f>'主料系数展开'!T97</x:f>
        <x:v>0</x:v>
      </x:c>
      <x:c r="AP22" s="36" t="n">
        <x:f>'主料系数展开'!T98</x:f>
        <x:v>0</x:v>
      </x:c>
      <x:c r="AQ22" s="36" t="n">
        <x:f>'主料系数展开'!T99</x:f>
        <x:v>0</x:v>
      </x:c>
      <x:c r="AR22" s="36" t="n">
        <x:f>'主料系数展开'!T100</x:f>
        <x:v>0</x:v>
      </x:c>
    </x:row>
    <x:row r="23" ht="40" customHeight="1">
      <x:c r="A23" s="22" t="str">
        <x:v>R18</x:v>
      </x:c>
      <x:c r="B23" s="22" t="str">
        <x:v>硼矿B₂O₃当量</x:v>
      </x:c>
      <x:c r="C23" s="22" t="str">
        <x:v>kg有效组分当量</x:v>
      </x:c>
      <x:c r="D23" s="36" t="n">
        <x:f>'主料系数展开'!U59</x:f>
        <x:v>0</x:v>
      </x:c>
      <x:c r="E23" s="36" t="n">
        <x:f>'主料系数展开'!U60</x:f>
        <x:v>0</x:v>
      </x:c>
      <x:c r="F23" s="36" t="n">
        <x:f>'主料系数展开'!U61</x:f>
        <x:v>0</x:v>
      </x:c>
      <x:c r="G23" s="36" t="n">
        <x:f>'主料系数展开'!U62</x:f>
        <x:v>0</x:v>
      </x:c>
      <x:c r="H23" s="36" t="n">
        <x:f>'主料系数展开'!U63</x:f>
        <x:v>0</x:v>
      </x:c>
      <x:c r="I23" s="36" t="n">
        <x:f>'主料系数展开'!U64</x:f>
        <x:v>0</x:v>
      </x:c>
      <x:c r="J23" s="36" t="n">
        <x:f>'主料系数展开'!U65</x:f>
        <x:v>0</x:v>
      </x:c>
      <x:c r="K23" s="36" t="n">
        <x:f>'主料系数展开'!U66</x:f>
        <x:v>0</x:v>
      </x:c>
      <x:c r="L23" s="36" t="n">
        <x:f>'主料系数展开'!U67</x:f>
        <x:v>0</x:v>
      </x:c>
      <x:c r="M23" s="36" t="n">
        <x:f>'主料系数展开'!U68</x:f>
        <x:v>0</x:v>
      </x:c>
      <x:c r="N23" s="36" t="n">
        <x:f>'主料系数展开'!U69</x:f>
        <x:v>0</x:v>
      </x:c>
      <x:c r="O23" s="36" t="n">
        <x:f>'主料系数展开'!U70</x:f>
        <x:v>0</x:v>
      </x:c>
      <x:c r="P23" s="36" t="n">
        <x:f>'主料系数展开'!U71</x:f>
        <x:v>0</x:v>
      </x:c>
      <x:c r="Q23" s="36" t="n">
        <x:f>'主料系数展开'!U72</x:f>
        <x:v>0</x:v>
      </x:c>
      <x:c r="R23" s="36" t="n">
        <x:f>'主料系数展开'!U73</x:f>
        <x:v>0</x:v>
      </x:c>
      <x:c r="S23" s="36" t="n">
        <x:f>'主料系数展开'!U74</x:f>
        <x:v>0</x:v>
      </x:c>
      <x:c r="T23" s="36" t="n">
        <x:f>'主料系数展开'!U75</x:f>
        <x:v>0</x:v>
      </x:c>
      <x:c r="U23" s="36" t="n">
        <x:f>'主料系数展开'!U76</x:f>
        <x:v>0</x:v>
      </x:c>
      <x:c r="V23" s="36" t="n">
        <x:f>'主料系数展开'!U77</x:f>
        <x:v>0</x:v>
      </x:c>
      <x:c r="W23" s="36" t="n">
        <x:f>'主料系数展开'!U78</x:f>
        <x:v>0</x:v>
      </x:c>
      <x:c r="X23" s="36" t="n">
        <x:f>'主料系数展开'!U79</x:f>
        <x:v>0</x:v>
      </x:c>
      <x:c r="Y23" s="36" t="n">
        <x:f>'主料系数展开'!U80</x:f>
        <x:v>0</x:v>
      </x:c>
      <x:c r="Z23" s="36" t="n">
        <x:f>'主料系数展开'!U81</x:f>
        <x:v>0</x:v>
      </x:c>
      <x:c r="AA23" s="36" t="n">
        <x:f>'主料系数展开'!U82</x:f>
        <x:v>0</x:v>
      </x:c>
      <x:c r="AB23" s="36" t="n">
        <x:f>'主料系数展开'!U83</x:f>
        <x:v>0</x:v>
      </x:c>
      <x:c r="AC23" s="36" t="n">
        <x:f>'主料系数展开'!U84</x:f>
        <x:v>0</x:v>
      </x:c>
      <x:c r="AD23" s="36" t="n">
        <x:f>'主料系数展开'!U85</x:f>
        <x:v>0</x:v>
      </x:c>
      <x:c r="AE23" s="36" t="n">
        <x:f>'主料系数展开'!U86</x:f>
        <x:v>0</x:v>
      </x:c>
      <x:c r="AF23" s="36" t="n">
        <x:f>'主料系数展开'!U87</x:f>
        <x:v>0</x:v>
      </x:c>
      <x:c r="AG23" s="36" t="n">
        <x:f>'主料系数展开'!U88</x:f>
        <x:v>0</x:v>
      </x:c>
      <x:c r="AH23" s="36" t="n">
        <x:f>'主料系数展开'!U89</x:f>
        <x:v>0</x:v>
      </x:c>
      <x:c r="AI23" s="36" t="n">
        <x:f>'主料系数展开'!U91</x:f>
        <x:v>0.00001</x:v>
      </x:c>
      <x:c r="AJ23" s="36" t="n">
        <x:f>'主料系数展开'!U92</x:f>
        <x:v>0</x:v>
      </x:c>
      <x:c r="AK23" s="36" t="n">
        <x:f>'主料系数展开'!U93</x:f>
        <x:v>0</x:v>
      </x:c>
      <x:c r="AL23" s="36" t="n">
        <x:f>'主料系数展开'!U94</x:f>
        <x:v>0</x:v>
      </x:c>
      <x:c r="AM23" s="36" t="n">
        <x:f>'主料系数展开'!U95</x:f>
        <x:v>0</x:v>
      </x:c>
      <x:c r="AN23" s="36" t="n">
        <x:f>'主料系数展开'!U96</x:f>
        <x:v>0</x:v>
      </x:c>
      <x:c r="AO23" s="36" t="n">
        <x:f>'主料系数展开'!U97</x:f>
        <x:v>0</x:v>
      </x:c>
      <x:c r="AP23" s="36" t="n">
        <x:f>'主料系数展开'!U98</x:f>
        <x:v>0</x:v>
      </x:c>
      <x:c r="AQ23" s="36" t="n">
        <x:f>'主料系数展开'!U99</x:f>
        <x:v>0</x:v>
      </x:c>
      <x:c r="AR23" s="36" t="n">
        <x:f>'主料系数展开'!U100</x:f>
        <x:v>0</x:v>
      </x:c>
    </x:row>
    <x:row r="24" ht="40" customHeight="1">
      <x:c r="A24" s="22" t="str">
        <x:v>R19</x:v>
      </x:c>
      <x:c r="B24" s="22" t="str">
        <x:v>可选萤石CaF₂</x:v>
      </x:c>
      <x:c r="C24" s="22" t="str">
        <x:v>kg有效组分当量</x:v>
      </x:c>
      <x:c r="D24" s="36" t="n">
        <x:f>'主料系数展开'!V59</x:f>
        <x:v>0</x:v>
      </x:c>
      <x:c r="E24" s="36" t="n">
        <x:f>'主料系数展开'!V60</x:f>
        <x:v>0</x:v>
      </x:c>
      <x:c r="F24" s="36" t="n">
        <x:f>'主料系数展开'!V61</x:f>
        <x:v>0</x:v>
      </x:c>
      <x:c r="G24" s="36" t="n">
        <x:f>'主料系数展开'!V62</x:f>
        <x:v>0</x:v>
      </x:c>
      <x:c r="H24" s="36" t="n">
        <x:f>'主料系数展开'!V63</x:f>
        <x:v>0</x:v>
      </x:c>
      <x:c r="I24" s="36" t="n">
        <x:f>'主料系数展开'!V64</x:f>
        <x:v>0</x:v>
      </x:c>
      <x:c r="J24" s="36" t="n">
        <x:f>'主料系数展开'!V65</x:f>
        <x:v>0</x:v>
      </x:c>
      <x:c r="K24" s="36" t="n">
        <x:f>'主料系数展开'!V66</x:f>
        <x:v>0</x:v>
      </x:c>
      <x:c r="L24" s="36" t="n">
        <x:f>'主料系数展开'!V67</x:f>
        <x:v>0</x:v>
      </x:c>
      <x:c r="M24" s="36" t="n">
        <x:f>'主料系数展开'!V68</x:f>
        <x:v>0</x:v>
      </x:c>
      <x:c r="N24" s="36" t="n">
        <x:f>'主料系数展开'!V69</x:f>
        <x:v>0</x:v>
      </x:c>
      <x:c r="O24" s="36" t="n">
        <x:f>'主料系数展开'!V70</x:f>
        <x:v>0</x:v>
      </x:c>
      <x:c r="P24" s="36" t="n">
        <x:f>'主料系数展开'!V71</x:f>
        <x:v>0</x:v>
      </x:c>
      <x:c r="Q24" s="36" t="n">
        <x:f>'主料系数展开'!V72</x:f>
        <x:v>0</x:v>
      </x:c>
      <x:c r="R24" s="36" t="n">
        <x:f>'主料系数展开'!V73</x:f>
        <x:v>0</x:v>
      </x:c>
      <x:c r="S24" s="36" t="n">
        <x:f>'主料系数展开'!V74</x:f>
        <x:v>0</x:v>
      </x:c>
      <x:c r="T24" s="36" t="n">
        <x:f>'主料系数展开'!V75</x:f>
        <x:v>0</x:v>
      </x:c>
      <x:c r="U24" s="36" t="n">
        <x:f>'主料系数展开'!V76</x:f>
        <x:v>0</x:v>
      </x:c>
      <x:c r="V24" s="36" t="n">
        <x:f>'主料系数展开'!V77</x:f>
        <x:v>0</x:v>
      </x:c>
      <x:c r="W24" s="36" t="n">
        <x:f>'主料系数展开'!V78</x:f>
        <x:v>0</x:v>
      </x:c>
      <x:c r="X24" s="36" t="n">
        <x:f>'主料系数展开'!V79</x:f>
        <x:v>0</x:v>
      </x:c>
      <x:c r="Y24" s="36" t="n">
        <x:f>'主料系数展开'!V80</x:f>
        <x:v>0</x:v>
      </x:c>
      <x:c r="Z24" s="36" t="n">
        <x:f>'主料系数展开'!V81</x:f>
        <x:v>0</x:v>
      </x:c>
      <x:c r="AA24" s="36" t="n">
        <x:f>'主料系数展开'!V82</x:f>
        <x:v>0</x:v>
      </x:c>
      <x:c r="AB24" s="36" t="n">
        <x:f>'主料系数展开'!V83</x:f>
        <x:v>0</x:v>
      </x:c>
      <x:c r="AC24" s="36" t="n">
        <x:f>'主料系数展开'!V84</x:f>
        <x:v>0</x:v>
      </x:c>
      <x:c r="AD24" s="36" t="n">
        <x:f>'主料系数展开'!V85</x:f>
        <x:v>0</x:v>
      </x:c>
      <x:c r="AE24" s="36" t="n">
        <x:f>'主料系数展开'!V86</x:f>
        <x:v>0</x:v>
      </x:c>
      <x:c r="AF24" s="36" t="n">
        <x:f>'主料系数展开'!V87</x:f>
        <x:v>0</x:v>
      </x:c>
      <x:c r="AG24" s="36" t="n">
        <x:f>'主料系数展开'!V88</x:f>
        <x:v>0</x:v>
      </x:c>
      <x:c r="AH24" s="36" t="n">
        <x:f>'主料系数展开'!V89</x:f>
        <x:v>0</x:v>
      </x:c>
      <x:c r="AI24" s="36" t="n">
        <x:f>'主料系数展开'!V91</x:f>
        <x:v>0</x:v>
      </x:c>
      <x:c r="AJ24" s="36" t="n">
        <x:f>'主料系数展开'!V92</x:f>
        <x:v>0</x:v>
      </x:c>
      <x:c r="AK24" s="36" t="n">
        <x:f>'主料系数展开'!V93</x:f>
        <x:v>0</x:v>
      </x:c>
      <x:c r="AL24" s="36" t="n">
        <x:f>'主料系数展开'!V94</x:f>
        <x:v>0</x:v>
      </x:c>
      <x:c r="AM24" s="36" t="n">
        <x:f>'主料系数展开'!V95</x:f>
        <x:v>0</x:v>
      </x:c>
      <x:c r="AN24" s="36" t="n">
        <x:f>'主料系数展开'!V96</x:f>
        <x:v>0</x:v>
      </x:c>
      <x:c r="AO24" s="36" t="n">
        <x:f>'主料系数展开'!V97</x:f>
        <x:v>0</x:v>
      </x:c>
      <x:c r="AP24" s="36" t="n">
        <x:f>'主料系数展开'!V98</x:f>
        <x:v>0</x:v>
      </x:c>
      <x:c r="AQ24" s="36" t="n">
        <x:f>'主料系数展开'!V99</x:f>
        <x:v>0</x:v>
      </x:c>
      <x:c r="AR24" s="36" t="n">
        <x:f>'主料系数展开'!V100</x:f>
        <x:v>0</x:v>
      </x:c>
    </x:row>
    <x:row r="25" ht="40" customHeight="1">
      <x:c r="A25" s="22" t="str">
        <x:v>R20</x:v>
      </x:c>
      <x:c r="B25" s="22" t="str">
        <x:v>可选锡矿SnO₂</x:v>
      </x:c>
      <x:c r="C25" s="22" t="str">
        <x:v>kg有效组分当量</x:v>
      </x:c>
      <x:c r="D25" s="36" t="n">
        <x:f>'主料系数展开'!W59</x:f>
        <x:v>0</x:v>
      </x:c>
      <x:c r="E25" s="36" t="n">
        <x:f>'主料系数展开'!W60</x:f>
        <x:v>0</x:v>
      </x:c>
      <x:c r="F25" s="36" t="n">
        <x:f>'主料系数展开'!W61</x:f>
        <x:v>0</x:v>
      </x:c>
      <x:c r="G25" s="36" t="n">
        <x:f>'主料系数展开'!W62</x:f>
        <x:v>0</x:v>
      </x:c>
      <x:c r="H25" s="36" t="n">
        <x:f>'主料系数展开'!W63</x:f>
        <x:v>0</x:v>
      </x:c>
      <x:c r="I25" s="36" t="n">
        <x:f>'主料系数展开'!W64</x:f>
        <x:v>0</x:v>
      </x:c>
      <x:c r="J25" s="36" t="n">
        <x:f>'主料系数展开'!W65</x:f>
        <x:v>0</x:v>
      </x:c>
      <x:c r="K25" s="36" t="n">
        <x:f>'主料系数展开'!W66</x:f>
        <x:v>0</x:v>
      </x:c>
      <x:c r="L25" s="36" t="n">
        <x:f>'主料系数展开'!W67</x:f>
        <x:v>0</x:v>
      </x:c>
      <x:c r="M25" s="36" t="n">
        <x:f>'主料系数展开'!W68</x:f>
        <x:v>0</x:v>
      </x:c>
      <x:c r="N25" s="36" t="n">
        <x:f>'主料系数展开'!W69</x:f>
        <x:v>0</x:v>
      </x:c>
      <x:c r="O25" s="36" t="n">
        <x:f>'主料系数展开'!W70</x:f>
        <x:v>0</x:v>
      </x:c>
      <x:c r="P25" s="36" t="n">
        <x:f>'主料系数展开'!W71</x:f>
        <x:v>0</x:v>
      </x:c>
      <x:c r="Q25" s="36" t="n">
        <x:f>'主料系数展开'!W72</x:f>
        <x:v>0</x:v>
      </x:c>
      <x:c r="R25" s="36" t="n">
        <x:f>'主料系数展开'!W73</x:f>
        <x:v>0</x:v>
      </x:c>
      <x:c r="S25" s="36" t="n">
        <x:f>'主料系数展开'!W74</x:f>
        <x:v>0</x:v>
      </x:c>
      <x:c r="T25" s="36" t="n">
        <x:f>'主料系数展开'!W75</x:f>
        <x:v>0</x:v>
      </x:c>
      <x:c r="U25" s="36" t="n">
        <x:f>'主料系数展开'!W76</x:f>
        <x:v>0</x:v>
      </x:c>
      <x:c r="V25" s="36" t="n">
        <x:f>'主料系数展开'!W77</x:f>
        <x:v>0</x:v>
      </x:c>
      <x:c r="W25" s="36" t="n">
        <x:f>'主料系数展开'!W78</x:f>
        <x:v>0</x:v>
      </x:c>
      <x:c r="X25" s="36" t="n">
        <x:f>'主料系数展开'!W79</x:f>
        <x:v>0</x:v>
      </x:c>
      <x:c r="Y25" s="36" t="n">
        <x:f>'主料系数展开'!W80</x:f>
        <x:v>0</x:v>
      </x:c>
      <x:c r="Z25" s="36" t="n">
        <x:f>'主料系数展开'!W81</x:f>
        <x:v>0</x:v>
      </x:c>
      <x:c r="AA25" s="36" t="n">
        <x:f>'主料系数展开'!W82</x:f>
        <x:v>0</x:v>
      </x:c>
      <x:c r="AB25" s="36" t="n">
        <x:f>'主料系数展开'!W83</x:f>
        <x:v>0</x:v>
      </x:c>
      <x:c r="AC25" s="36" t="n">
        <x:f>'主料系数展开'!W84</x:f>
        <x:v>0</x:v>
      </x:c>
      <x:c r="AD25" s="36" t="n">
        <x:f>'主料系数展开'!W85</x:f>
        <x:v>0</x:v>
      </x:c>
      <x:c r="AE25" s="36" t="n">
        <x:f>'主料系数展开'!W86</x:f>
        <x:v>0</x:v>
      </x:c>
      <x:c r="AF25" s="36" t="n">
        <x:f>'主料系数展开'!W87</x:f>
        <x:v>0</x:v>
      </x:c>
      <x:c r="AG25" s="36" t="n">
        <x:f>'主料系数展开'!W88</x:f>
        <x:v>0</x:v>
      </x:c>
      <x:c r="AH25" s="36" t="n">
        <x:f>'主料系数展开'!W89</x:f>
        <x:v>0</x:v>
      </x:c>
      <x:c r="AI25" s="36" t="n">
        <x:f>'主料系数展开'!W91</x:f>
        <x:v>0.012695476370988125</x:v>
      </x:c>
      <x:c r="AJ25" s="36" t="n">
        <x:f>'主料系数展开'!W92</x:f>
        <x:v>0</x:v>
      </x:c>
      <x:c r="AK25" s="36" t="n">
        <x:f>'主料系数展开'!W93</x:f>
        <x:v>0</x:v>
      </x:c>
      <x:c r="AL25" s="36" t="n">
        <x:f>'主料系数展开'!W94</x:f>
        <x:v>0</x:v>
      </x:c>
      <x:c r="AM25" s="36" t="n">
        <x:f>'主料系数展开'!W95</x:f>
        <x:v>0</x:v>
      </x:c>
      <x:c r="AN25" s="36" t="n">
        <x:f>'主料系数展开'!W96</x:f>
        <x:v>0</x:v>
      </x:c>
      <x:c r="AO25" s="36" t="n">
        <x:f>'主料系数展开'!W97</x:f>
        <x:v>0</x:v>
      </x:c>
      <x:c r="AP25" s="36" t="n">
        <x:f>'主料系数展开'!W98</x:f>
        <x:v>0</x:v>
      </x:c>
      <x:c r="AQ25" s="36" t="n">
        <x:f>'主料系数展开'!W99</x:f>
        <x:v>0</x:v>
      </x:c>
      <x:c r="AR25" s="36" t="n">
        <x:f>'主料系数展开'!W100</x:f>
        <x:v>0</x:v>
      </x:c>
    </x:row>
    <x:row r="26" ht="40" customHeight="1">
      <x:c r="A26" s="22" t="str">
        <x:v>R21</x:v>
      </x:c>
      <x:c r="B26" s="22" t="str">
        <x:v>石膏CaSO₄·2H₂O</x:v>
      </x:c>
      <x:c r="C26" s="22" t="str">
        <x:v>kg有效组分当量</x:v>
      </x:c>
      <x:c r="D26" s="36" t="n">
        <x:f>'主料系数展开'!X59</x:f>
        <x:v>0</x:v>
      </x:c>
      <x:c r="E26" s="36" t="n">
        <x:f>'主料系数展开'!X60</x:f>
        <x:v>0</x:v>
      </x:c>
      <x:c r="F26" s="36" t="n">
        <x:f>'主料系数展开'!X61</x:f>
        <x:v>0</x:v>
      </x:c>
      <x:c r="G26" s="36" t="n">
        <x:f>'主料系数展开'!X62</x:f>
        <x:v>0</x:v>
      </x:c>
      <x:c r="H26" s="36" t="n">
        <x:f>'主料系数展开'!X63</x:f>
        <x:v>0</x:v>
      </x:c>
      <x:c r="I26" s="36" t="n">
        <x:f>'主料系数展开'!X64</x:f>
        <x:v>0</x:v>
      </x:c>
      <x:c r="J26" s="36" t="n">
        <x:f>'主料系数展开'!X65</x:f>
        <x:v>0</x:v>
      </x:c>
      <x:c r="K26" s="36" t="n">
        <x:f>'主料系数展开'!X66</x:f>
        <x:v>0</x:v>
      </x:c>
      <x:c r="L26" s="36" t="n">
        <x:f>'主料系数展开'!X67</x:f>
        <x:v>0</x:v>
      </x:c>
      <x:c r="M26" s="36" t="n">
        <x:f>'主料系数展开'!X68</x:f>
        <x:v>0</x:v>
      </x:c>
      <x:c r="N26" s="36" t="n">
        <x:f>'主料系数展开'!X69</x:f>
        <x:v>0</x:v>
      </x:c>
      <x:c r="O26" s="36" t="n">
        <x:f>'主料系数展开'!X70</x:f>
        <x:v>0</x:v>
      </x:c>
      <x:c r="P26" s="36" t="n">
        <x:f>'主料系数展开'!X71</x:f>
        <x:v>0</x:v>
      </x:c>
      <x:c r="Q26" s="36" t="n">
        <x:f>'主料系数展开'!X72</x:f>
        <x:v>0</x:v>
      </x:c>
      <x:c r="R26" s="36" t="n">
        <x:f>'主料系数展开'!X73</x:f>
        <x:v>0</x:v>
      </x:c>
      <x:c r="S26" s="36" t="n">
        <x:f>'主料系数展开'!X74</x:f>
        <x:v>0</x:v>
      </x:c>
      <x:c r="T26" s="36" t="n">
        <x:f>'主料系数展开'!X75</x:f>
        <x:v>0</x:v>
      </x:c>
      <x:c r="U26" s="36" t="n">
        <x:f>'主料系数展开'!X76</x:f>
        <x:v>0</x:v>
      </x:c>
      <x:c r="V26" s="36" t="n">
        <x:f>'主料系数展开'!X77</x:f>
        <x:v>0</x:v>
      </x:c>
      <x:c r="W26" s="36" t="n">
        <x:f>'主料系数展开'!X78</x:f>
        <x:v>0</x:v>
      </x:c>
      <x:c r="X26" s="36" t="n">
        <x:f>'主料系数展开'!X79</x:f>
        <x:v>0</x:v>
      </x:c>
      <x:c r="Y26" s="36" t="n">
        <x:f>'主料系数展开'!X80</x:f>
        <x:v>0</x:v>
      </x:c>
      <x:c r="Z26" s="36" t="n">
        <x:f>'主料系数展开'!X81</x:f>
        <x:v>0</x:v>
      </x:c>
      <x:c r="AA26" s="36" t="n">
        <x:f>'主料系数展开'!X82</x:f>
        <x:v>0</x:v>
      </x:c>
      <x:c r="AB26" s="36" t="n">
        <x:f>'主料系数展开'!X83</x:f>
        <x:v>0</x:v>
      </x:c>
      <x:c r="AC26" s="36" t="n">
        <x:f>'主料系数展开'!X84</x:f>
        <x:v>1</x:v>
      </x:c>
      <x:c r="AD26" s="36" t="n">
        <x:f>'主料系数展开'!X85</x:f>
        <x:v>0</x:v>
      </x:c>
      <x:c r="AE26" s="36" t="n">
        <x:f>'主料系数展开'!X86</x:f>
        <x:v>0</x:v>
      </x:c>
      <x:c r="AF26" s="36" t="n">
        <x:f>'主料系数展开'!X87</x:f>
        <x:v>0</x:v>
      </x:c>
      <x:c r="AG26" s="36" t="n">
        <x:f>'主料系数展开'!X88</x:f>
        <x:v>0</x:v>
      </x:c>
      <x:c r="AH26" s="36" t="n">
        <x:f>'主料系数展开'!X89</x:f>
        <x:v>0</x:v>
      </x:c>
      <x:c r="AI26" s="36" t="n">
        <x:f>'主料系数展开'!X91</x:f>
        <x:v>0</x:v>
      </x:c>
      <x:c r="AJ26" s="36" t="n">
        <x:f>'主料系数展开'!X92</x:f>
        <x:v>0</x:v>
      </x:c>
      <x:c r="AK26" s="36" t="n">
        <x:f>'主料系数展开'!X93</x:f>
        <x:v>0</x:v>
      </x:c>
      <x:c r="AL26" s="36" t="n">
        <x:f>'主料系数展开'!X94</x:f>
        <x:v>0</x:v>
      </x:c>
      <x:c r="AM26" s="36" t="n">
        <x:f>'主料系数展开'!X95</x:f>
        <x:v>0</x:v>
      </x:c>
      <x:c r="AN26" s="36" t="n">
        <x:f>'主料系数展开'!X96</x:f>
        <x:v>0</x:v>
      </x:c>
      <x:c r="AO26" s="36" t="n">
        <x:f>'主料系数展开'!X97</x:f>
        <x:v>0</x:v>
      </x:c>
      <x:c r="AP26" s="36" t="n">
        <x:f>'主料系数展开'!X98</x:f>
        <x:v>0</x:v>
      </x:c>
      <x:c r="AQ26" s="36" t="n">
        <x:f>'主料系数展开'!X99</x:f>
        <x:v>0</x:v>
      </x:c>
      <x:c r="AR26" s="36" t="n">
        <x:f>'主料系数展开'!X100</x:f>
        <x:v>0</x:v>
      </x:c>
    </x:row>
  </x:sheetData>
  <x:mergeCells>
    <x:mergeCell ref="A1:AR1"/>
    <x:mergeCell ref="A2:AR3"/>
  </x:mergeCells>
  <x:conditionalFormatting sqref="D6:AR26">
    <x:cfRule type="colorScale" priority="1">
      <x:colorScale>
        <x:cfvo type="min"/>
        <x:cfvo type="percentile" val="50"/>
        <x:cfvo type="max"/>
        <x:color rgb="FFF7FAFC"/>
        <x:color rgb="FFDCECEF"/>
        <x:color rgb="FF91C5CD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5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</x:cols>
  <x:sheetData>
    <x:row r="1" ht="34" customHeight="1">
      <x:c r="A1" s="4" t="str">
        <x:v>主原料_理想回水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</x:row>
    <x:row r="2" ht="20" customHeight="1">
      <x:c r="A2" s="9" t="str">
        <x:v>仅将同一产业链产生的水以100%可回收的理想情景抵扣；其他副产品不抵扣。实际不可直接使用100%回收；负值截为0，余水仍需记账。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</x:row>
    <x:row r="5" ht="76" customHeight="1">
      <x:c r="A5" s="15" t="str">
        <x:v>原料ID</x:v>
      </x:c>
      <x:c r="B5" s="15" t="str">
        <x:v>原料</x:v>
      </x:c>
      <x:c r="C5" s="15" t="str">
        <x:v>行单位</x:v>
      </x:c>
      <x:c r="D5" s="15" t="str">
        <x:v>I01
烧结砖/铺面块
kg</x:v>
      </x:c>
      <x:c r="E5" s="15" t="str">
        <x:v>I02
陶瓷管/耐火件
kg</x:v>
      </x:c>
      <x:c r="F5" s="15" t="str">
        <x:v>I03
岩棉/玄武岩纤维
kg</x:v>
      </x:c>
      <x:c r="G5" s="15" t="str">
        <x:v>I04
透明硅玻璃板
m²（厚5mm）</x:v>
      </x:c>
      <x:c r="H5" s="15" t="str">
        <x:v>I05
低碳钢零件
kg</x:v>
      </x:c>
      <x:c r="I5" s="15" t="str">
        <x:v>I06
裸铜导线
kg</x:v>
      </x:c>
      <x:c r="J5" s="15" t="str">
        <x:v>I07
PE管材/薄膜
kg</x:v>
      </x:c>
      <x:c r="K5" s="15" t="str">
        <x:v>I08
硅橡胶密封件
kg</x:v>
      </x:c>
      <x:c r="L5" s="15" t="str">
        <x:v>I09
润滑基料
kg</x:v>
      </x:c>
      <x:c r="M5" s="15" t="str">
        <x:v>I10
钢制紧固件
kg</x:v>
      </x:c>
      <x:c r="N5" s="15" t="str">
        <x:v>I11
流体泵套件
套（名义1kW）</x:v>
      </x:c>
      <x:c r="O5" s="15" t="str">
        <x:v>I12
感应电机套件
套（名义1kW）</x:v>
      </x:c>
      <x:c r="P5" s="15" t="str">
        <x:v>I13
储液/储气容器套件
套（容积1m³）</x:v>
      </x:c>
      <x:c r="Q5" s="15" t="str">
        <x:v>I14
电热炉套件
套（名义1kW输入）</x:v>
      </x:c>
      <x:c r="R5" s="15" t="str">
        <x:v>I15
机加工设备套件
套（名义1kW主驱动）</x:v>
      </x:c>
      <x:c r="S5" s="15" t="str">
        <x:v>I16
净水设备套件
套（名义1m³/日）</x:v>
      </x:c>
      <x:c r="T5" s="15" t="str">
        <x:v>I17
气体处理设备套件
套（名义1kg CO₂/小时）</x:v>
      </x:c>
      <x:c r="U5" s="15" t="str">
        <x:v>I18
居住/厂房围护构件套件
m²围护面</x:v>
      </x:c>
      <x:c r="V5" s="15" t="str">
        <x:v>I19
机械阀门套件
件（示例小型阀）</x:v>
      </x:c>
      <x:c r="W5" s="15" t="str">
        <x:v>I20
绝缘电缆
kg</x:v>
      </x:c>
      <x:c r="X5" s="15" t="str">
        <x:v>A01
净水
kg</x:v>
      </x:c>
      <x:c r="Y5" s="15" t="str">
        <x:v>A02
无水硝酸钙肥料当量
kg</x:v>
      </x:c>
      <x:c r="Z5" s="15" t="str">
        <x:v>A03
磷酸一铵肥料当量
kg</x:v>
      </x:c>
      <x:c r="AA5" s="15" t="str">
        <x:v>A04
硫酸钾肥料
kg</x:v>
      </x:c>
      <x:c r="AB5" s="15" t="str">
        <x:v>A05
七水硫酸镁肥料
kg</x:v>
      </x:c>
      <x:c r="AC5" s="15" t="str">
        <x:v>A06
石膏钙硫肥
kg</x:v>
      </x:c>
      <x:c r="AD5" s="15" t="str">
        <x:v>A07
小麦可食干物质
kg可食干物质</x:v>
      </x:c>
      <x:c r="AE5" s="15" t="str">
        <x:v>A08
大豆可食干物质
kg可食干物质</x:v>
      </x:c>
      <x:c r="AF5" s="15" t="str">
        <x:v>A09
马铃薯可食干物质
kg可食干物质</x:v>
      </x:c>
      <x:c r="AG5" s="15" t="str">
        <x:v>A10
叶菜可食干物质
kg可食干物质</x:v>
      </x:c>
      <x:c r="AH5" s="15" t="str">
        <x:v>A11
循环水培栽培模块
m²栽培面积</x:v>
      </x:c>
      <x:c r="AI5" s="15" t="str">
        <x:v>E01
晶硅太阳能板
m²组件</x:v>
      </x:c>
      <x:c r="AJ5" s="15" t="str">
        <x:v>E02
太阳热集热板
m²集热面积</x:v>
      </x:c>
      <x:c r="AK5" s="15" t="str">
        <x:v>E03
岩石显热储热模块
kWhₜₕ名义容量</x:v>
      </x:c>
      <x:c r="AL5" s="15" t="str">
        <x:v>E04
碱性水电解设备
套（1kW额定输入）</x:v>
      </x:c>
      <x:c r="AM5" s="15" t="str">
        <x:v>E05
甲烷合成设备
套（名义1kg CH₄/日）</x:v>
      </x:c>
      <x:c r="AN5" s="15" t="str">
        <x:v>E06
合成甲烷
kg</x:v>
      </x:c>
      <x:c r="AO5" s="15" t="str">
        <x:v>E07
氢气
kg</x:v>
      </x:c>
      <x:c r="AP5" s="15" t="str">
        <x:v>E08
氧气
kg</x:v>
      </x:c>
      <x:c r="AQ5" s="15" t="str">
        <x:v>E09
镍铁蓄电池模块
kWhₑ名义容量</x:v>
      </x:c>
      <x:c r="AR5" s="15" t="str">
        <x:v>E10
甲烷—氧气发电机套件
套（1kWₑ名义输出）</x:v>
      </x:c>
    </x:row>
    <x:row r="6" ht="40" customHeight="1">
      <x:c r="A6" s="22" t="str">
        <x:v>R01</x:v>
      </x:c>
      <x:c r="B6" s="22" t="str">
        <x:v>水冰中H₂O</x:v>
      </x:c>
      <x:c r="C6" s="22" t="str">
        <x:v>kg有效组分当量</x:v>
      </x:c>
      <x:c r="D6" s="36" t="n">
        <x:f>MAX(0,'主料系数展开'!D59-'副产系数展开'!H59)</x:f>
        <x:v>0</x:v>
      </x:c>
      <x:c r="E6" s="36" t="n">
        <x:f>MAX(0,'主料系数展开'!D60-'副产系数展开'!H60)</x:f>
        <x:v>0</x:v>
      </x:c>
      <x:c r="F6" s="36" t="n">
        <x:f>MAX(0,'主料系数展开'!D61-'副产系数展开'!H61)</x:f>
        <x:v>0</x:v>
      </x:c>
      <x:c r="G6" s="36" t="n">
        <x:f>MAX(0,'主料系数展开'!D62-'副产系数展开'!H62)</x:f>
        <x:v>0</x:v>
      </x:c>
      <x:c r="H6" s="36" t="n">
        <x:f>MAX(0,'主料系数展开'!D63-'副产系数展开'!H63)</x:f>
        <x:v>0</x:v>
      </x:c>
      <x:c r="I6" s="36" t="n">
        <x:f>MAX(0,'主料系数展开'!D64-'副产系数展开'!H64)</x:f>
        <x:v>0</x:v>
      </x:c>
      <x:c r="J6" s="36" t="n">
        <x:f>MAX(0,'主料系数展开'!D65-'副产系数展开'!H65)</x:f>
        <x:v>1.2843088329649963</x:v>
      </x:c>
      <x:c r="K6" s="36" t="n">
        <x:f>MAX(0,'主料系数展开'!D66-'副产系数展开'!H66)</x:f>
        <x:v>0.5830568816247268</x:v>
      </x:c>
      <x:c r="L6" s="36" t="n">
        <x:f>MAX(0,'主料系数展开'!D67-'副产系数展开'!H67)</x:f>
        <x:v>1.2843088329649963</x:v>
      </x:c>
      <x:c r="M6" s="36" t="n">
        <x:f>MAX(0,'主料系数展开'!D68-'副产系数展开'!H68)</x:f>
        <x:v>0</x:v>
      </x:c>
      <x:c r="N6" s="36" t="n">
        <x:f>MAX(0,'主料系数展开'!D69-'副产系数展开'!H69)</x:f>
        <x:v>0.11661137632494523</x:v>
      </x:c>
      <x:c r="O6" s="36" t="n">
        <x:f>MAX(0,'主料系数展开'!D70-'副产系数展开'!H70)</x:f>
        <x:v>0.05830568816247261</x:v>
      </x:c>
      <x:c r="P6" s="36" t="n">
        <x:f>MAX(0,'主料系数展开'!D71-'副产系数展开'!H71)</x:f>
        <x:v>0.11661137632494345</x:v>
      </x:c>
      <x:c r="Q6" s="36" t="n">
        <x:f>MAX(0,'主料系数展开'!D72-'副产系数展开'!H72)</x:f>
        <x:v>0</x:v>
      </x:c>
      <x:c r="R6" s="36" t="n">
        <x:f>MAX(0,'主料系数展开'!D73-'副产系数展开'!H73)</x:f>
        <x:v>1.2843088329649959</x:v>
      </x:c>
      <x:c r="S6" s="36" t="n">
        <x:f>MAX(0,'主料系数展开'!D74-'副产系数展开'!H74)</x:f>
        <x:v>6.713072605637347</x:v>
      </x:c>
      <x:c r="T6" s="36" t="n">
        <x:f>MAX(0,'主料系数展开'!D75-'副产系数展开'!H75)</x:f>
        <x:v>0.29152844081236395</x:v>
      </x:c>
      <x:c r="U6" s="36" t="n">
        <x:f>MAX(0,'主料系数展开'!D76-'副产系数展开'!H76)</x:f>
        <x:v>1.4009202092899429</x:v>
      </x:c>
      <x:c r="V6" s="36" t="n">
        <x:f>MAX(0,'主料系数展开'!D77-'副产系数展开'!H77)</x:f>
        <x:v>0.01749170644874176</x:v>
      </x:c>
      <x:c r="W6" s="36" t="n">
        <x:f>MAX(0,'主料系数展开'!D78-'副产系数展开'!H78)</x:f>
        <x:v>0.2568617665929993</x:v>
      </x:c>
      <x:c r="X6" s="36" t="n">
        <x:f>MAX(0,'主料系数展开'!D79-'副产系数展开'!H79)</x:f>
        <x:v>1</x:v>
      </x:c>
      <x:c r="Y6" s="36" t="n">
        <x:f>MAX(0,'主料系数展开'!D80-'副产系数展开'!H80)</x:f>
        <x:v>5.551115123125783e-17</x:v>
      </x:c>
      <x:c r="Z6" s="36" t="n">
        <x:f>MAX(0,'主料系数展开'!D81-'副产系数展开'!H81)</x:f>
        <x:v>1.0180178222125627</x:v>
      </x:c>
      <x:c r="AA6" s="36" t="n">
        <x:f>MAX(0,'主料系数展开'!D82-'副产系数展开'!H82)</x:f>
        <x:v>0.10338475311617658</x:v>
      </x:c>
      <x:c r="AB6" s="36" t="n">
        <x:f>MAX(0,'主料系数展开'!D83-'副产系数展开'!H83)</x:f>
        <x:v>0.43855947676352924</x:v>
      </x:c>
      <x:c r="AC6" s="36" t="n">
        <x:f>MAX(0,'主料系数展开'!D84-'副产系数展开'!H84)</x:f>
        <x:v>0</x:v>
      </x:c>
      <x:c r="AD6" s="36" t="n">
        <x:f>MAX(0,'主料系数展开'!D85-'副产系数展开'!H85)</x:f>
        <x:v>10.255697947984968</x:v>
      </x:c>
      <x:c r="AE6" s="36" t="n">
        <x:f>MAX(0,'主料系数展开'!D86-'副产系数展开'!H86)</x:f>
        <x:v>11.614088750715673</x:v>
      </x:c>
      <x:c r="AF6" s="36" t="n">
        <x:f>MAX(0,'主料系数展开'!D87-'副产系数展开'!H87)</x:f>
        <x:v>6.15495465297943</x:v>
      </x:c>
      <x:c r="AG6" s="36" t="n">
        <x:f>MAX(0,'主料系数展开'!D88-'副产系数展开'!H88)</x:f>
        <x:v>5.398610068699866</x:v>
      </x:c>
      <x:c r="AH6" s="36" t="n">
        <x:f>MAX(0,'主料系数展开'!D89-'副产系数展开'!H89)</x:f>
        <x:v>3.8587570677112364</x:v>
      </x:c>
      <x:c r="AI6" s="36" t="n">
        <x:f>MAX(0,'主料系数展开'!D91-'副产系数展开'!H91)</x:f>
        <x:v>0.43729266121854504</x:v>
      </x:c>
      <x:c r="AJ6" s="36" t="n">
        <x:f>MAX(0,'主料系数展开'!D92-'副产系数展开'!H92)</x:f>
        <x:v>0.05830568816247261</x:v>
      </x:c>
      <x:c r="AK6" s="36" t="n">
        <x:f>MAX(0,'主料系数展开'!D93-'副产系数展开'!H93)</x:f>
        <x:v>0</x:v>
      </x:c>
      <x:c r="AL6" s="36" t="n">
        <x:f>MAX(0,'主料系数展开'!D94-'副产系数展开'!H94)</x:f>
        <x:v>1.5614673975975784</x:v>
      </x:c>
      <x:c r="AM6" s="36" t="n">
        <x:f>MAX(0,'主料系数展开'!D95-'副产系数展开'!H95)</x:f>
        <x:v>0.17491706448741873</x:v>
      </x:c>
      <x:c r="AN6" s="36" t="n">
        <x:f>MAX(0,'主料系数展开'!D96-'副产系数展开'!H96)</x:f>
        <x:v>2.2458393068628064</x:v>
      </x:c>
      <x:c r="AO6" s="36" t="n">
        <x:f>MAX(0,'主料系数展开'!D97-'副产系数展开'!H97)</x:f>
        <x:v>8.936011904761905</x:v>
      </x:c>
      <x:c r="AP6" s="36" t="n">
        <x:f>MAX(0,'主料系数展开'!D98-'副产系数展开'!H98)</x:f>
        <x:v>0</x:v>
      </x:c>
      <x:c r="AQ6" s="36" t="n">
        <x:f>MAX(0,'主料系数展开'!D99-'副产系数展开'!H99)</x:f>
        <x:v>12.376737794353355</x:v>
      </x:c>
      <x:c r="AR6" s="36" t="n">
        <x:f>MAX(0,'主料系数展开'!D100-'副产系数展开'!H100)</x:f>
        <x:v>0.1749170644874205</x:v>
      </x:c>
    </x:row>
    <x:row r="7" ht="40" customHeight="1">
      <x:c r="A7" s="22" t="str">
        <x:v>R02</x:v>
      </x:c>
      <x:c r="B7" s="22" t="str">
        <x:v>大气CO₂组分</x:v>
      </x:c>
      <x:c r="C7" s="22" t="str">
        <x:v>kg有效组分当量</x:v>
      </x:c>
      <x:c r="D7" s="36" t="n">
        <x:f>'主料系数展开'!E59</x:f>
        <x:v>0</x:v>
      </x:c>
      <x:c r="E7" s="36" t="n">
        <x:f>'主料系数展开'!E60</x:f>
        <x:v>0</x:v>
      </x:c>
      <x:c r="F7" s="36" t="n">
        <x:f>'主料系数展开'!E61</x:f>
        <x:v>0</x:v>
      </x:c>
      <x:c r="G7" s="36" t="n">
        <x:f>'主料系数展开'!E62</x:f>
        <x:v>0</x:v>
      </x:c>
      <x:c r="H7" s="36" t="n">
        <x:f>'主料系数展开'!E63</x:f>
        <x:v>0.00732811589376405</x:v>
      </x:c>
      <x:c r="I7" s="36" t="n">
        <x:f>'主料系数展开'!E64</x:f>
        <x:v>0</x:v>
      </x:c>
      <x:c r="J7" s="36" t="n">
        <x:f>'主料系数展开'!E65</x:f>
        <x:v>3.1374492051044416</x:v>
      </x:c>
      <x:c r="K7" s="36" t="n">
        <x:f>'主料系数展开'!E66</x:f>
        <x:v>1.89913962834102</x:v>
      </x:c>
      <x:c r="L7" s="36" t="n">
        <x:f>'主料系数展开'!E67</x:f>
        <x:v>3.1374492051044416</x:v>
      </x:c>
      <x:c r="M7" s="36" t="n">
        <x:f>'主料系数展开'!E68</x:f>
        <x:v>0.00732811589376405</x:v>
      </x:c>
      <x:c r="N7" s="36" t="n">
        <x:f>'主料系数展开'!E69</x:f>
        <x:v>0.4677653163933726</x:v>
      </x:c>
      <x:c r="O7" s="36" t="n">
        <x:f>'主料系数展开'!E70</x:f>
        <x:v>0.26319512177174254</x:v>
      </x:c>
      <x:c r="P7" s="36" t="n">
        <x:f>'主料系数展开'!E71</x:f>
        <x:v>0.819514879294047</x:v>
      </x:c>
      <x:c r="Q7" s="36" t="n">
        <x:f>'主料系数展开'!E72</x:f>
        <x:v>1.8686695529098327</x:v>
      </x:c>
      <x:c r="R7" s="36" t="n">
        <x:f>'主料系数展开'!E73</x:f>
        <x:v>3.8702607944808465</x:v>
      </x:c>
      <x:c r="S7" s="36" t="n">
        <x:f>'主料系数展开'!E74</x:f>
        <x:v>16.783378157568</x:v>
      </x:c>
      <x:c r="T7" s="36" t="n">
        <x:f>'主料系数展开'!E75</x:f>
        <x:v>1.096132132045791</x:v>
      </x:c>
      <x:c r="U7" s="36" t="n">
        <x:f>'主料系数展开'!E76</x:f>
        <x:v>3.6638394486479267</x:v>
      </x:c>
      <x:c r="V7" s="36" t="n">
        <x:f>'主料系数展开'!E77</x:f>
        <x:v>0.06356949315461824</x:v>
      </x:c>
      <x:c r="W7" s="36" t="n">
        <x:f>'主料系数展开'!E78</x:f>
        <x:v>0.6274898410208883</x:v>
      </x:c>
      <x:c r="X7" s="36" t="n">
        <x:f>'主料系数展开'!E79</x:f>
        <x:v>0</x:v>
      </x:c>
      <x:c r="Y7" s="36" t="n">
        <x:f>'主料系数展开'!E80</x:f>
        <x:v>2.1456553270845773</x:v>
      </x:c>
      <x:c r="Z7" s="36" t="n">
        <x:f>'主料系数展开'!E81</x:f>
        <x:v>1.9130189089328409</x:v>
      </x:c>
      <x:c r="AA7" s="36" t="n">
        <x:f>'主料系数展开'!E82</x:f>
        <x:v>0.7576785345361889</x:v>
      </x:c>
      <x:c r="AB7" s="36" t="n">
        <x:f>'主料系数展开'!E83</x:f>
        <x:v>0</x:v>
      </x:c>
      <x:c r="AC7" s="36" t="n">
        <x:f>'主料系数展开'!E84</x:f>
        <x:v>0</x:v>
      </x:c>
      <x:c r="AD7" s="36" t="n">
        <x:f>'主料系数展开'!E85</x:f>
        <x:v>4.440766422499875</x:v>
      </x:c>
      <x:c r="AE7" s="36" t="n">
        <x:f>'主料系数展开'!E86</x:f>
        <x:v>6.264431840271915</x:v>
      </x:c>
      <x:c r="AF7" s="36" t="n">
        <x:f>'主料系数展开'!E87</x:f>
        <x:v>2.5598340025973894</x:v>
      </x:c>
      <x:c r="AG7" s="36" t="n">
        <x:f>'主料系数展开'!E88</x:f>
        <x:v>2.3494329252601482</x:v>
      </x:c>
      <x:c r="AH7" s="36" t="n">
        <x:f>'主料系数展开'!E89</x:f>
        <x:v>9.472376460601813</x:v>
      </x:c>
      <x:c r="AI7" s="36" t="n">
        <x:f>'主料系数展开'!E91</x:f>
        <x:v>4.697516403520742</x:v>
      </x:c>
      <x:c r="AJ7" s="36" t="n">
        <x:f>'主料系数展开'!E92</x:f>
        <x:v>0.2338826581966863</x:v>
      </x:c>
      <x:c r="AK7" s="36" t="n">
        <x:f>'主料系数展开'!E93</x:f>
        <x:v>0.0146562317875281</x:v>
      </x:c>
      <x:c r="AL7" s="36" t="n">
        <x:f>'主料系数展开'!E94</x:f>
        <x:v>3.6271988691791064</x:v>
      </x:c>
      <x:c r="AM7" s="36" t="n">
        <x:f>'主料系数展开'!E95</x:f>
        <x:v>0.7895853653152275</x:v>
      </x:c>
      <x:c r="AN7" s="36" t="n">
        <x:f>'主料系数展开'!E96</x:f>
        <x:v>2.7431901764009226</x:v>
      </x:c>
      <x:c r="AO7" s="36" t="n">
        <x:f>'主料系数展开'!E97</x:f>
        <x:v>0</x:v>
      </x:c>
      <x:c r="AP7" s="36" t="n">
        <x:f>'主料系数展开'!E98</x:f>
        <x:v>2.7507344209013063</x:v>
      </x:c>
      <x:c r="AQ7" s="36" t="n">
        <x:f>'主料系数展开'!E99</x:f>
        <x:v>6.348179569146524</x:v>
      </x:c>
      <x:c r="AR7" s="36" t="n">
        <x:f>'主料系数展开'!E100</x:f>
        <x:v>1.009428842128149</x:v>
      </x:c>
    </x:row>
    <x:row r="8" ht="40" customHeight="1">
      <x:c r="A8" s="22" t="str">
        <x:v>R03</x:v>
      </x:c>
      <x:c r="B8" s="22" t="str">
        <x:v>大气N₂组分</x:v>
      </x:c>
      <x:c r="C8" s="22" t="str">
        <x:v>kg有效组分当量</x:v>
      </x:c>
      <x:c r="D8" s="36" t="n">
        <x:f>'主料系数展开'!F59</x:f>
        <x:v>0</x:v>
      </x:c>
      <x:c r="E8" s="36" t="n">
        <x:f>'主料系数展开'!F60</x:f>
        <x:v>0</x:v>
      </x:c>
      <x:c r="F8" s="36" t="n">
        <x:f>'主料系数展开'!F61</x:f>
        <x:v>0</x:v>
      </x:c>
      <x:c r="G8" s="36" t="n">
        <x:f>'主料系数展开'!F62</x:f>
        <x:v>0</x:v>
      </x:c>
      <x:c r="H8" s="36" t="n">
        <x:f>'主料系数展开'!F63</x:f>
        <x:v>0</x:v>
      </x:c>
      <x:c r="I8" s="36" t="n">
        <x:f>'主料系数展开'!F64</x:f>
        <x:v>0</x:v>
      </x:c>
      <x:c r="J8" s="36" t="n">
        <x:f>'主料系数展开'!F65</x:f>
        <x:v>0</x:v>
      </x:c>
      <x:c r="K8" s="36" t="n">
        <x:f>'主料系数展开'!F66</x:f>
        <x:v>0</x:v>
      </x:c>
      <x:c r="L8" s="36" t="n">
        <x:f>'主料系数展开'!F67</x:f>
        <x:v>0</x:v>
      </x:c>
      <x:c r="M8" s="36" t="n">
        <x:f>'主料系数展开'!F68</x:f>
        <x:v>0</x:v>
      </x:c>
      <x:c r="N8" s="36" t="n">
        <x:f>'主料系数展开'!F69</x:f>
        <x:v>0</x:v>
      </x:c>
      <x:c r="O8" s="36" t="n">
        <x:f>'主料系数展开'!F70</x:f>
        <x:v>0</x:v>
      </x:c>
      <x:c r="P8" s="36" t="n">
        <x:f>'主料系数展开'!F71</x:f>
        <x:v>0</x:v>
      </x:c>
      <x:c r="Q8" s="36" t="n">
        <x:f>'主料系数展开'!F72</x:f>
        <x:v>0</x:v>
      </x:c>
      <x:c r="R8" s="36" t="n">
        <x:f>'主料系数展开'!F73</x:f>
        <x:v>0</x:v>
      </x:c>
      <x:c r="S8" s="36" t="n">
        <x:f>'主料系数展开'!F74</x:f>
        <x:v>0</x:v>
      </x:c>
      <x:c r="T8" s="36" t="n">
        <x:f>'主料系数展开'!F75</x:f>
        <x:v>0</x:v>
      </x:c>
      <x:c r="U8" s="36" t="n">
        <x:f>'主料系数展开'!F76</x:f>
        <x:v>0</x:v>
      </x:c>
      <x:c r="V8" s="36" t="n">
        <x:f>'主料系数展开'!F77</x:f>
        <x:v>0</x:v>
      </x:c>
      <x:c r="W8" s="36" t="n">
        <x:f>'主料系数展开'!F78</x:f>
        <x:v>0</x:v>
      </x:c>
      <x:c r="X8" s="36" t="n">
        <x:f>'主料系数展开'!F79</x:f>
        <x:v>0</x:v>
      </x:c>
      <x:c r="Y8" s="36" t="n">
        <x:f>'主料系数展开'!F80</x:f>
        <x:v>0.17072754531160486</x:v>
      </x:c>
      <x:c r="Z8" s="36" t="n">
        <x:f>'主料系数展开'!F81</x:f>
        <x:v>0.12177352749402304</x:v>
      </x:c>
      <x:c r="AA8" s="36" t="n">
        <x:f>'主料系数展开'!F82</x:f>
        <x:v>0</x:v>
      </x:c>
      <x:c r="AB8" s="36" t="n">
        <x:f>'主料系数展开'!F83</x:f>
        <x:v>0</x:v>
      </x:c>
      <x:c r="AC8" s="36" t="n">
        <x:f>'主料系数展开'!F84</x:f>
        <x:v>0</x:v>
      </x:c>
      <x:c r="AD8" s="36" t="n">
        <x:f>'主料系数展开'!F85</x:f>
        <x:v>0.053333333333333344</x:v>
      </x:c>
      <x:c r="AE8" s="36" t="n">
        <x:f>'主料系数展开'!F86</x:f>
        <x:v>0.13749999999999998</x:v>
      </x:c>
      <x:c r="AF8" s="36" t="n">
        <x:f>'主料系数展开'!F87</x:f>
        <x:v>0.026666666666666665</x:v>
      </x:c>
      <x:c r="AG8" s="36" t="n">
        <x:f>'主料系数展开'!F88</x:f>
        <x:v>0.0411764705882353</x:v>
      </x:c>
      <x:c r="AH8" s="36" t="n">
        <x:f>'主料系数展开'!F89</x:f>
        <x:v>0</x:v>
      </x:c>
      <x:c r="AI8" s="36" t="n">
        <x:f>'主料系数展开'!F91</x:f>
        <x:v>0</x:v>
      </x:c>
      <x:c r="AJ8" s="36" t="n">
        <x:f>'主料系数展开'!F92</x:f>
        <x:v>0</x:v>
      </x:c>
      <x:c r="AK8" s="36" t="n">
        <x:f>'主料系数展开'!F93</x:f>
        <x:v>0</x:v>
      </x:c>
      <x:c r="AL8" s="36" t="n">
        <x:f>'主料系数展开'!F94</x:f>
        <x:v>0</x:v>
      </x:c>
      <x:c r="AM8" s="36" t="n">
        <x:f>'主料系数展开'!F95</x:f>
        <x:v>0</x:v>
      </x:c>
      <x:c r="AN8" s="36" t="n">
        <x:f>'主料系数展开'!F96</x:f>
        <x:v>0</x:v>
      </x:c>
      <x:c r="AO8" s="36" t="n">
        <x:f>'主料系数展开'!F97</x:f>
        <x:v>0</x:v>
      </x:c>
      <x:c r="AP8" s="36" t="n">
        <x:f>'主料系数展开'!F98</x:f>
        <x:v>0</x:v>
      </x:c>
      <x:c r="AQ8" s="36" t="n">
        <x:f>'主料系数展开'!F99</x:f>
        <x:v>0</x:v>
      </x:c>
      <x:c r="AR8" s="36" t="n">
        <x:f>'主料系数展开'!F100</x:f>
        <x:v>0</x:v>
      </x:c>
    </x:row>
    <x:row r="9" ht="40" customHeight="1">
      <x:c r="A9" s="22" t="str">
        <x:v>R04</x:v>
      </x:c>
      <x:c r="B9" s="22" t="str">
        <x:v>大气Ar组分</x:v>
      </x:c>
      <x:c r="C9" s="22" t="str">
        <x:v>kg有效组分当量</x:v>
      </x:c>
      <x:c r="D9" s="36" t="n">
        <x:f>'主料系数展开'!G59</x:f>
        <x:v>0</x:v>
      </x:c>
      <x:c r="E9" s="36" t="n">
        <x:f>'主料系数展开'!G60</x:f>
        <x:v>0</x:v>
      </x:c>
      <x:c r="F9" s="36" t="n">
        <x:f>'主料系数展开'!G61</x:f>
        <x:v>0</x:v>
      </x:c>
      <x:c r="G9" s="36" t="n">
        <x:f>'主料系数展开'!G62</x:f>
        <x:v>0</x:v>
      </x:c>
      <x:c r="H9" s="36" t="n">
        <x:f>'主料系数展开'!G63</x:f>
        <x:v>0</x:v>
      </x:c>
      <x:c r="I9" s="36" t="n">
        <x:f>'主料系数展开'!G64</x:f>
        <x:v>0</x:v>
      </x:c>
      <x:c r="J9" s="36" t="n">
        <x:f>'主料系数展开'!G65</x:f>
        <x:v>0</x:v>
      </x:c>
      <x:c r="K9" s="36" t="n">
        <x:f>'主料系数展开'!G66</x:f>
        <x:v>0</x:v>
      </x:c>
      <x:c r="L9" s="36" t="n">
        <x:f>'主料系数展开'!G67</x:f>
        <x:v>0</x:v>
      </x:c>
      <x:c r="M9" s="36" t="n">
        <x:f>'主料系数展开'!G68</x:f>
        <x:v>0</x:v>
      </x:c>
      <x:c r="N9" s="36" t="n">
        <x:f>'主料系数展开'!G69</x:f>
        <x:v>0</x:v>
      </x:c>
      <x:c r="O9" s="36" t="n">
        <x:f>'主料系数展开'!G70</x:f>
        <x:v>0</x:v>
      </x:c>
      <x:c r="P9" s="36" t="n">
        <x:f>'主料系数展开'!G71</x:f>
        <x:v>0</x:v>
      </x:c>
      <x:c r="Q9" s="36" t="n">
        <x:f>'主料系数展开'!G72</x:f>
        <x:v>0</x:v>
      </x:c>
      <x:c r="R9" s="36" t="n">
        <x:f>'主料系数展开'!G73</x:f>
        <x:v>0</x:v>
      </x:c>
      <x:c r="S9" s="36" t="n">
        <x:f>'主料系数展开'!G74</x:f>
        <x:v>0</x:v>
      </x:c>
      <x:c r="T9" s="36" t="n">
        <x:f>'主料系数展开'!G75</x:f>
        <x:v>0</x:v>
      </x:c>
      <x:c r="U9" s="36" t="n">
        <x:f>'主料系数展开'!G76</x:f>
        <x:v>0</x:v>
      </x:c>
      <x:c r="V9" s="36" t="n">
        <x:f>'主料系数展开'!G77</x:f>
        <x:v>0</x:v>
      </x:c>
      <x:c r="W9" s="36" t="n">
        <x:f>'主料系数展开'!G78</x:f>
        <x:v>0</x:v>
      </x:c>
      <x:c r="X9" s="36" t="n">
        <x:f>'主料系数展开'!G79</x:f>
        <x:v>0</x:v>
      </x:c>
      <x:c r="Y9" s="36" t="n">
        <x:f>'主料系数展开'!G80</x:f>
        <x:v>0</x:v>
      </x:c>
      <x:c r="Z9" s="36" t="n">
        <x:f>'主料系数展开'!G81</x:f>
        <x:v>0</x:v>
      </x:c>
      <x:c r="AA9" s="36" t="n">
        <x:f>'主料系数展开'!G82</x:f>
        <x:v>0</x:v>
      </x:c>
      <x:c r="AB9" s="36" t="n">
        <x:f>'主料系数展开'!G83</x:f>
        <x:v>0</x:v>
      </x:c>
      <x:c r="AC9" s="36" t="n">
        <x:f>'主料系数展开'!G84</x:f>
        <x:v>0</x:v>
      </x:c>
      <x:c r="AD9" s="36" t="n">
        <x:f>'主料系数展开'!G85</x:f>
        <x:v>0</x:v>
      </x:c>
      <x:c r="AE9" s="36" t="n">
        <x:f>'主料系数展开'!G86</x:f>
        <x:v>0</x:v>
      </x:c>
      <x:c r="AF9" s="36" t="n">
        <x:f>'主料系数展开'!G87</x:f>
        <x:v>0</x:v>
      </x:c>
      <x:c r="AG9" s="36" t="n">
        <x:f>'主料系数展开'!G88</x:f>
        <x:v>0</x:v>
      </x:c>
      <x:c r="AH9" s="36" t="n">
        <x:f>'主料系数展开'!G89</x:f>
        <x:v>0</x:v>
      </x:c>
      <x:c r="AI9" s="36" t="n">
        <x:f>'主料系数展开'!G91</x:f>
        <x:v>0</x:v>
      </x:c>
      <x:c r="AJ9" s="36" t="n">
        <x:f>'主料系数展开'!G92</x:f>
        <x:v>0</x:v>
      </x:c>
      <x:c r="AK9" s="36" t="n">
        <x:f>'主料系数展开'!G93</x:f>
        <x:v>0</x:v>
      </x:c>
      <x:c r="AL9" s="36" t="n">
        <x:f>'主料系数展开'!G94</x:f>
        <x:v>0</x:v>
      </x:c>
      <x:c r="AM9" s="36" t="n">
        <x:f>'主料系数展开'!G95</x:f>
        <x:v>0</x:v>
      </x:c>
      <x:c r="AN9" s="36" t="n">
        <x:f>'主料系数展开'!G96</x:f>
        <x:v>0</x:v>
      </x:c>
      <x:c r="AO9" s="36" t="n">
        <x:f>'主料系数展开'!G97</x:f>
        <x:v>0</x:v>
      </x:c>
      <x:c r="AP9" s="36" t="n">
        <x:f>'主料系数展开'!G98</x:f>
        <x:v>0</x:v>
      </x:c>
      <x:c r="AQ9" s="36" t="n">
        <x:f>'主料系数展开'!G99</x:f>
        <x:v>0</x:v>
      </x:c>
      <x:c r="AR9" s="36" t="n">
        <x:f>'主料系数展开'!G100</x:f>
        <x:v>0</x:v>
      </x:c>
    </x:row>
    <x:row r="10" ht="40" customHeight="1">
      <x:c r="A10" s="22" t="str">
        <x:v>R05</x:v>
      </x:c>
      <x:c r="B10" s="22" t="str">
        <x:v>可用玄武质风化层</x:v>
      </x:c>
      <x:c r="C10" s="22" t="str">
        <x:v>kg有效组分当量</x:v>
      </x:c>
      <x:c r="D10" s="36" t="n">
        <x:f>'主料系数展开'!H59</x:f>
        <x:v>1.0526315789473684</x:v>
      </x:c>
      <x:c r="E10" s="36" t="n">
        <x:f>'主料系数展开'!H60</x:f>
        <x:v>1.1111111111111112</x:v>
      </x:c>
      <x:c r="F10" s="36" t="n">
        <x:f>'主料系数展开'!H61</x:f>
        <x:v>1.1111111111111112</x:v>
      </x:c>
      <x:c r="G10" s="36" t="n">
        <x:f>'主料系数展开'!H62</x:f>
        <x:v>0</x:v>
      </x:c>
      <x:c r="H10" s="36" t="n">
        <x:f>'主料系数展开'!H63</x:f>
        <x:v>0</x:v>
      </x:c>
      <x:c r="I10" s="36" t="n">
        <x:f>'主料系数展开'!H64</x:f>
        <x:v>0</x:v>
      </x:c>
      <x:c r="J10" s="36" t="n">
        <x:f>'主料系数展开'!H65</x:f>
        <x:v>0</x:v>
      </x:c>
      <x:c r="K10" s="36" t="n">
        <x:f>'主料系数展开'!H66</x:f>
        <x:v>0</x:v>
      </x:c>
      <x:c r="L10" s="36" t="n">
        <x:f>'主料系数展开'!H67</x:f>
        <x:v>0</x:v>
      </x:c>
      <x:c r="M10" s="36" t="n">
        <x:f>'主料系数展开'!H68</x:f>
        <x:v>0</x:v>
      </x:c>
      <x:c r="N10" s="36" t="n">
        <x:f>'主料系数展开'!H69</x:f>
        <x:v>1.1111111111111112</x:v>
      </x:c>
      <x:c r="O10" s="36" t="n">
        <x:f>'主料系数展开'!H70</x:f>
        <x:v>0</x:v>
      </x:c>
      <x:c r="P10" s="36" t="n">
        <x:f>'主料系数展开'!H71</x:f>
        <x:v>0</x:v>
      </x:c>
      <x:c r="Q10" s="36" t="n">
        <x:f>'主料系数展开'!H72</x:f>
        <x:v>11.11111111111111</x:v>
      </x:c>
      <x:c r="R10" s="36" t="n">
        <x:f>'主料系数展开'!H73</x:f>
        <x:v>2.2222222222222223</x:v>
      </x:c>
      <x:c r="S10" s="36" t="n">
        <x:f>'主料系数展开'!H74</x:f>
        <x:v>0</x:v>
      </x:c>
      <x:c r="T10" s="36" t="n">
        <x:f>'主料系数展开'!H75</x:f>
        <x:v>0</x:v>
      </x:c>
      <x:c r="U10" s="36" t="n">
        <x:f>'主料系数展开'!H76</x:f>
        <x:v>5.555555555555555</x:v>
      </x:c>
      <x:c r="V10" s="36" t="n">
        <x:f>'主料系数展开'!H77</x:f>
        <x:v>0</x:v>
      </x:c>
      <x:c r="W10" s="36" t="n">
        <x:f>'主料系数展开'!H78</x:f>
        <x:v>0</x:v>
      </x:c>
      <x:c r="X10" s="36" t="n">
        <x:f>'主料系数展开'!H79</x:f>
        <x:v>0</x:v>
      </x:c>
      <x:c r="Y10" s="36" t="n">
        <x:f>'主料系数展开'!H80</x:f>
        <x:v>0</x:v>
      </x:c>
      <x:c r="Z10" s="36" t="n">
        <x:f>'主料系数展开'!H81</x:f>
        <x:v>0</x:v>
      </x:c>
      <x:c r="AA10" s="36" t="n">
        <x:f>'主料系数展开'!H82</x:f>
        <x:v>0</x:v>
      </x:c>
      <x:c r="AB10" s="36" t="n">
        <x:f>'主料系数展开'!H83</x:f>
        <x:v>0</x:v>
      </x:c>
      <x:c r="AC10" s="36" t="n">
        <x:f>'主料系数展开'!H84</x:f>
        <x:v>0</x:v>
      </x:c>
      <x:c r="AD10" s="36" t="n">
        <x:f>'主料系数展开'!H85</x:f>
        <x:v>0</x:v>
      </x:c>
      <x:c r="AE10" s="36" t="n">
        <x:f>'主料系数展开'!H86</x:f>
        <x:v>0</x:v>
      </x:c>
      <x:c r="AF10" s="36" t="n">
        <x:f>'主料系数展开'!H87</x:f>
        <x:v>0</x:v>
      </x:c>
      <x:c r="AG10" s="36" t="n">
        <x:f>'主料系数展开'!H88</x:f>
        <x:v>0</x:v>
      </x:c>
      <x:c r="AH10" s="36" t="n">
        <x:f>'主料系数展开'!H89</x:f>
        <x:v>1.1666666666666667</x:v>
      </x:c>
      <x:c r="AI10" s="36" t="n">
        <x:f>'主料系数展开'!H91</x:f>
        <x:v>0</x:v>
      </x:c>
      <x:c r="AJ10" s="36" t="n">
        <x:f>'主料系数展开'!H92</x:f>
        <x:v>2.2222222222222223</x:v>
      </x:c>
      <x:c r="AK10" s="36" t="n">
        <x:f>'主料系数展开'!H93</x:f>
        <x:v>19.028944911297852</x:v>
      </x:c>
      <x:c r="AL10" s="36" t="n">
        <x:f>'主料系数展开'!H94</x:f>
        <x:v>0</x:v>
      </x:c>
      <x:c r="AM10" s="36" t="n">
        <x:f>'主料系数展开'!H95</x:f>
        <x:v>5.555555555555555</x:v>
      </x:c>
      <x:c r="AN10" s="36" t="n">
        <x:f>'主料系数展开'!H96</x:f>
        <x:v>0</x:v>
      </x:c>
      <x:c r="AO10" s="36" t="n">
        <x:f>'主料系数展开'!H97</x:f>
        <x:v>0</x:v>
      </x:c>
      <x:c r="AP10" s="36" t="n">
        <x:f>'主料系数展开'!H98</x:f>
        <x:v>0</x:v>
      </x:c>
      <x:c r="AQ10" s="36" t="n">
        <x:f>'主料系数展开'!H99</x:f>
        <x:v>0</x:v>
      </x:c>
      <x:c r="AR10" s="36" t="n">
        <x:f>'主料系数展开'!H100</x:f>
        <x:v>1.1111111111111112</x:v>
      </x:c>
    </x:row>
    <x:row r="11" ht="40" customHeight="1">
      <x:c r="A11" s="22" t="str">
        <x:v>R06</x:v>
      </x:c>
      <x:c r="B11" s="22" t="str">
        <x:v>富硅原料SiO₂当量</x:v>
      </x:c>
      <x:c r="C11" s="22" t="str">
        <x:v>kg有效组分当量</x:v>
      </x:c>
      <x:c r="D11" s="36" t="n">
        <x:f>'主料系数展开'!I59</x:f>
        <x:v>0</x:v>
      </x:c>
      <x:c r="E11" s="36" t="n">
        <x:f>'主料系数展开'!I60</x:f>
        <x:v>0</x:v>
      </x:c>
      <x:c r="F11" s="36" t="n">
        <x:f>'主料系数展开'!I61</x:f>
        <x:v>0</x:v>
      </x:c>
      <x:c r="G11" s="36" t="n">
        <x:f>'主料系数展开'!I62</x:f>
        <x:v>11.578947368421051</x:v>
      </x:c>
      <x:c r="H11" s="36" t="n">
        <x:f>'主料系数展开'!I63</x:f>
        <x:v>0</x:v>
      </x:c>
      <x:c r="I11" s="36" t="n">
        <x:f>'主料系数展开'!I64</x:f>
        <x:v>0</x:v>
      </x:c>
      <x:c r="J11" s="36" t="n">
        <x:f>'主料系数展开'!I65</x:f>
        <x:v>0</x:v>
      </x:c>
      <x:c r="K11" s="36" t="n">
        <x:f>'主料系数展开'!I66</x:f>
        <x:v>0.8481969954419184</x:v>
      </x:c>
      <x:c r="L11" s="36" t="n">
        <x:f>'主料系数展开'!I67</x:f>
        <x:v>0</x:v>
      </x:c>
      <x:c r="M11" s="36" t="n">
        <x:f>'主料系数展开'!I68</x:f>
        <x:v>0</x:v>
      </x:c>
      <x:c r="N11" s="36" t="n">
        <x:f>'主料系数展开'!I69</x:f>
        <x:v>0.16963939908838369</x:v>
      </x:c>
      <x:c r="O11" s="36" t="n">
        <x:f>'主料系数展开'!I70</x:f>
        <x:v>0.6111354890178761</x:v>
      </x:c>
      <x:c r="P11" s="36" t="n">
        <x:f>'主料系数展开'!I71</x:f>
        <x:v>0.16963939908838369</x:v>
      </x:c>
      <x:c r="Q11" s="36" t="n">
        <x:f>'主料系数展开'!I72</x:f>
        <x:v>0</x:v>
      </x:c>
      <x:c r="R11" s="36" t="n">
        <x:f>'主料系数展开'!I73</x:f>
        <x:v>0</x:v>
      </x:c>
      <x:c r="S11" s="36" t="n">
        <x:f>'主料系数展开'!I74</x:f>
        <x:v>1.4767300766683276</x:v>
      </x:c>
      <x:c r="T11" s="36" t="n">
        <x:f>'主料系数展开'!I75</x:f>
        <x:v>4.529361655615696</x:v>
      </x:c>
      <x:c r="U11" s="36" t="n">
        <x:f>'主料系数展开'!I76</x:f>
        <x:v>11.748586767509435</x:v>
      </x:c>
      <x:c r="V11" s="36" t="n">
        <x:f>'主料系数展开'!I77</x:f>
        <x:v>0.02544590986325755</x:v>
      </x:c>
      <x:c r="W11" s="36" t="n">
        <x:f>'主料系数展开'!I78</x:f>
        <x:v>0</x:v>
      </x:c>
      <x:c r="X11" s="36" t="n">
        <x:f>'主料系数展开'!I79</x:f>
        <x:v>0</x:v>
      </x:c>
      <x:c r="Y11" s="36" t="n">
        <x:f>'主料系数展开'!I80</x:f>
        <x:v>0</x:v>
      </x:c>
      <x:c r="Z11" s="36" t="n">
        <x:f>'主料系数展开'!I81</x:f>
        <x:v>0</x:v>
      </x:c>
      <x:c r="AA11" s="36" t="n">
        <x:f>'主料系数展开'!I82</x:f>
        <x:v>0</x:v>
      </x:c>
      <x:c r="AB11" s="36" t="n">
        <x:f>'主料系数展开'!I83</x:f>
        <x:v>0</x:v>
      </x:c>
      <x:c r="AC11" s="36" t="n">
        <x:f>'主料系数展开'!I84</x:f>
        <x:v>0</x:v>
      </x:c>
      <x:c r="AD11" s="36" t="n">
        <x:f>'主料系数展开'!I85</x:f>
        <x:v>0</x:v>
      </x:c>
      <x:c r="AE11" s="36" t="n">
        <x:f>'主料系数展开'!I86</x:f>
        <x:v>0</x:v>
      </x:c>
      <x:c r="AF11" s="36" t="n">
        <x:f>'主料系数展开'!I87</x:f>
        <x:v>0</x:v>
      </x:c>
      <x:c r="AG11" s="36" t="n">
        <x:f>'主料系数展开'!I88</x:f>
        <x:v>0</x:v>
      </x:c>
      <x:c r="AH11" s="36" t="n">
        <x:f>'主料系数展开'!I89</x:f>
        <x:v>0.008481969954419185</x:v>
      </x:c>
      <x:c r="AI11" s="36" t="n">
        <x:f>'主料系数展开'!I91</x:f>
        <x:v>11.129665274848362</x:v>
      </x:c>
      <x:c r="AJ11" s="36" t="n">
        <x:f>'主料系数展开'!I92</x:f>
        <x:v>5.8742933837547175</x:v>
      </x:c>
      <x:c r="AK11" s="36" t="n">
        <x:f>'主料系数展开'!I93</x:f>
        <x:v>0</x:v>
      </x:c>
      <x:c r="AL11" s="36" t="n">
        <x:f>'主料系数展开'!I94</x:f>
        <x:v>0.16963939908838369</x:v>
      </x:c>
      <x:c r="AM11" s="36" t="n">
        <x:f>'主料系数展开'!I95</x:f>
        <x:v>0.2544590986325755</x:v>
      </x:c>
      <x:c r="AN11" s="36" t="n">
        <x:f>'主料系数展开'!I96</x:f>
        <x:v>0</x:v>
      </x:c>
      <x:c r="AO11" s="36" t="n">
        <x:f>'主料系数展开'!I97</x:f>
        <x:v>0</x:v>
      </x:c>
      <x:c r="AP11" s="36" t="n">
        <x:f>'主料系数展开'!I98</x:f>
        <x:v>0</x:v>
      </x:c>
      <x:c r="AQ11" s="36" t="n">
        <x:f>'主料系数展开'!I99</x:f>
        <x:v>0</x:v>
      </x:c>
      <x:c r="AR11" s="36" t="n">
        <x:f>'主料系数展开'!I100</x:f>
        <x:v>0.2544590986325755</x:v>
      </x:c>
    </x:row>
    <x:row r="12" ht="40" customHeight="1">
      <x:c r="A12" s="22" t="str">
        <x:v>R07</x:v>
      </x:c>
      <x:c r="B12" s="22" t="str">
        <x:v>铁矿Fe₂O₃当量</x:v>
      </x:c>
      <x:c r="C12" s="22" t="str">
        <x:v>kg有效组分当量</x:v>
      </x:c>
      <x:c r="D12" s="36" t="n">
        <x:f>'主料系数展开'!J59</x:f>
        <x:v>0</x:v>
      </x:c>
      <x:c r="E12" s="36" t="n">
        <x:f>'主料系数展开'!J60</x:f>
        <x:v>0</x:v>
      </x:c>
      <x:c r="F12" s="36" t="n">
        <x:f>'主料系数展开'!J61</x:f>
        <x:v>0</x:v>
      </x:c>
      <x:c r="G12" s="36" t="n">
        <x:f>'主料系数展开'!J62</x:f>
        <x:v>0</x:v>
      </x:c>
      <x:c r="H12" s="36" t="n">
        <x:f>'主料系数展开'!J63</x:f>
        <x:v>1.426874617244158</x:v>
      </x:c>
      <x:c r="I12" s="36" t="n">
        <x:f>'主料系数展开'!J64</x:f>
        <x:v>0</x:v>
      </x:c>
      <x:c r="J12" s="36" t="n">
        <x:f>'主料系数展开'!J65</x:f>
        <x:v>0</x:v>
      </x:c>
      <x:c r="K12" s="36" t="n">
        <x:f>'主料系数展开'!J66</x:f>
        <x:v>0</x:v>
      </x:c>
      <x:c r="L12" s="36" t="n">
        <x:f>'主料系数展开'!J67</x:f>
        <x:v>0</x:v>
      </x:c>
      <x:c r="M12" s="36" t="n">
        <x:f>'主料系数展开'!J68</x:f>
        <x:v>1.426874617244158</x:v>
      </x:c>
      <x:c r="N12" s="36" t="n">
        <x:f>'主料系数展开'!J69</x:f>
        <x:v>17.122495406929897</x:v>
      </x:c>
      <x:c r="O12" s="36" t="n">
        <x:f>'主料系数展开'!J70</x:f>
        <x:v>14.26874617244158</x:v>
      </x:c>
      <x:c r="P12" s="36" t="n">
        <x:f>'主料系数展开'!J71</x:f>
        <x:v>85.61247703464947</x:v>
      </x:c>
      <x:c r="Q12" s="36" t="n">
        <x:f>'主料系数展开'!J72</x:f>
        <x:v>7.13437308622079</x:v>
      </x:c>
      <x:c r="R12" s="36" t="n">
        <x:f>'主料系数展开'!J73</x:f>
        <x:v>142.6874617244158</x:v>
      </x:c>
      <x:c r="S12" s="36" t="n">
        <x:f>'主料系数展开'!J74</x:f>
        <x:v>28.53749234488316</x:v>
      </x:c>
      <x:c r="T12" s="36" t="n">
        <x:f>'主料系数展开'!J75</x:f>
        <x:v>28.53749234488316</x:v>
      </x:c>
      <x:c r="U12" s="36" t="n">
        <x:f>'主料系数展开'!J76</x:f>
        <x:v>28.53749234488316</x:v>
      </x:c>
      <x:c r="V12" s="36" t="n">
        <x:f>'主料系数展开'!J77</x:f>
        <x:v>1.2841871555197422</x:v>
      </x:c>
      <x:c r="W12" s="36" t="n">
        <x:f>'主料系数展开'!J78</x:f>
        <x:v>0</x:v>
      </x:c>
      <x:c r="X12" s="36" t="n">
        <x:f>'主料系数展开'!J79</x:f>
        <x:v>0</x:v>
      </x:c>
      <x:c r="Y12" s="36" t="n">
        <x:f>'主料系数展开'!J80</x:f>
        <x:v>0</x:v>
      </x:c>
      <x:c r="Z12" s="36" t="n">
        <x:f>'主料系数展开'!J81</x:f>
        <x:v>0</x:v>
      </x:c>
      <x:c r="AA12" s="36" t="n">
        <x:f>'主料系数展开'!J82</x:f>
        <x:v>0</x:v>
      </x:c>
      <x:c r="AB12" s="36" t="n">
        <x:f>'主料系数展开'!J83</x:f>
        <x:v>0</x:v>
      </x:c>
      <x:c r="AC12" s="36" t="n">
        <x:f>'主料系数展开'!J84</x:f>
        <x:v>0</x:v>
      </x:c>
      <x:c r="AD12" s="36" t="n">
        <x:f>'主料系数展开'!J85</x:f>
        <x:v>0</x:v>
      </x:c>
      <x:c r="AE12" s="36" t="n">
        <x:f>'主料系数展开'!J86</x:f>
        <x:v>0</x:v>
      </x:c>
      <x:c r="AF12" s="36" t="n">
        <x:f>'主料系数展开'!J87</x:f>
        <x:v>0</x:v>
      </x:c>
      <x:c r="AG12" s="36" t="n">
        <x:f>'主料系数展开'!J88</x:f>
        <x:v>0</x:v>
      </x:c>
      <x:c r="AH12" s="36" t="n">
        <x:f>'主料系数展开'!J89</x:f>
        <x:v>7.990497856567284</x:v>
      </x:c>
      <x:c r="AI12" s="36" t="n">
        <x:f>'主料系数展开'!J91</x:f>
        <x:v>0</x:v>
      </x:c>
      <x:c r="AJ12" s="36" t="n">
        <x:f>'主料系数展开'!J92</x:f>
        <x:v>8.561247703464948</x:v>
      </x:c>
      <x:c r="AK12" s="36" t="n">
        <x:f>'主料系数展开'!J93</x:f>
        <x:v>2.853749234488316</x:v>
      </x:c>
      <x:c r="AL12" s="36" t="n">
        <x:f>'主料系数展开'!J94</x:f>
        <x:v>21.403119258662368</x:v>
      </x:c>
      <x:c r="AM12" s="36" t="n">
        <x:f>'主料系数展开'!J95</x:f>
        <x:v>42.806238517324736</x:v>
      </x:c>
      <x:c r="AN12" s="36" t="n">
        <x:f>'主料系数展开'!J96</x:f>
        <x:v>0</x:v>
      </x:c>
      <x:c r="AO12" s="36" t="n">
        <x:f>'主料系数展开'!J97</x:f>
        <x:v>0</x:v>
      </x:c>
      <x:c r="AP12" s="36" t="n">
        <x:f>'主料系数展开'!J98</x:f>
        <x:v>0</x:v>
      </x:c>
      <x:c r="AQ12" s="36" t="n">
        <x:f>'主料系数展开'!J99</x:f>
        <x:v>18.557948428686544</x:v>
      </x:c>
      <x:c r="AR12" s="36" t="n">
        <x:f>'主料系数展开'!J100</x:f>
        <x:v>85.61247703464947</x:v>
      </x:c>
    </x:row>
    <x:row r="13" ht="40" customHeight="1">
      <x:c r="A13" s="22" t="str">
        <x:v>R08</x:v>
      </x:c>
      <x:c r="B13" s="22" t="str">
        <x:v>碳酸钙原料CaCO₃当量</x:v>
      </x:c>
      <x:c r="C13" s="22" t="str">
        <x:v>kg有效组分当量</x:v>
      </x:c>
      <x:c r="D13" s="36" t="n">
        <x:f>'主料系数展开'!K59</x:f>
        <x:v>0</x:v>
      </x:c>
      <x:c r="E13" s="36" t="n">
        <x:f>'主料系数展开'!K60</x:f>
        <x:v>0</x:v>
      </x:c>
      <x:c r="F13" s="36" t="n">
        <x:f>'主料系数展开'!K61</x:f>
        <x:v>0</x:v>
      </x:c>
      <x:c r="G13" s="36" t="n">
        <x:f>'主料系数展开'!K62</x:f>
        <x:v>0</x:v>
      </x:c>
      <x:c r="H13" s="36" t="n">
        <x:f>'主料系数展开'!K63</x:f>
        <x:v>0</x:v>
      </x:c>
      <x:c r="I13" s="36" t="n">
        <x:f>'主料系数展开'!K64</x:f>
        <x:v>0</x:v>
      </x:c>
      <x:c r="J13" s="36" t="n">
        <x:f>'主料系数展开'!K65</x:f>
        <x:v>0</x:v>
      </x:c>
      <x:c r="K13" s="36" t="n">
        <x:f>'主料系数展开'!K66</x:f>
        <x:v>0</x:v>
      </x:c>
      <x:c r="L13" s="36" t="n">
        <x:f>'主料系数展开'!K67</x:f>
        <x:v>0</x:v>
      </x:c>
      <x:c r="M13" s="36" t="n">
        <x:f>'主料系数展开'!K68</x:f>
        <x:v>0</x:v>
      </x:c>
      <x:c r="N13" s="36" t="n">
        <x:f>'主料系数展开'!K69</x:f>
        <x:v>0</x:v>
      </x:c>
      <x:c r="O13" s="36" t="n">
        <x:f>'主料系数展开'!K70</x:f>
        <x:v>0</x:v>
      </x:c>
      <x:c r="P13" s="36" t="n">
        <x:f>'主料系数展开'!K71</x:f>
        <x:v>0</x:v>
      </x:c>
      <x:c r="Q13" s="36" t="n">
        <x:f>'主料系数展开'!K72</x:f>
        <x:v>0</x:v>
      </x:c>
      <x:c r="R13" s="36" t="n">
        <x:f>'主料系数展开'!K73</x:f>
        <x:v>0</x:v>
      </x:c>
      <x:c r="S13" s="36" t="n">
        <x:f>'主料系数展开'!K74</x:f>
        <x:v>0</x:v>
      </x:c>
      <x:c r="T13" s="36" t="n">
        <x:f>'主料系数展开'!K75</x:f>
        <x:v>0</x:v>
      </x:c>
      <x:c r="U13" s="36" t="n">
        <x:f>'主料系数展开'!K76</x:f>
        <x:v>0</x:v>
      </x:c>
      <x:c r="V13" s="36" t="n">
        <x:f>'主料系数展开'!K77</x:f>
        <x:v>0</x:v>
      </x:c>
      <x:c r="W13" s="36" t="n">
        <x:f>'主料系数展开'!K78</x:f>
        <x:v>0</x:v>
      </x:c>
      <x:c r="X13" s="36" t="n">
        <x:f>'主料系数展开'!K79</x:f>
        <x:v>0</x:v>
      </x:c>
      <x:c r="Y13" s="36" t="n">
        <x:f>'主料系数展开'!K80</x:f>
        <x:v>0.609960630401131</x:v>
      </x:c>
      <x:c r="Z13" s="36" t="n">
        <x:f>'主料系数展开'!K81</x:f>
        <x:v>0</x:v>
      </x:c>
      <x:c r="AA13" s="36" t="n">
        <x:f>'主料系数展开'!K82</x:f>
        <x:v>0</x:v>
      </x:c>
      <x:c r="AB13" s="36" t="n">
        <x:f>'主料系数展开'!K83</x:f>
        <x:v>0</x:v>
      </x:c>
      <x:c r="AC13" s="36" t="n">
        <x:f>'主料系数展开'!K84</x:f>
        <x:v>0</x:v>
      </x:c>
      <x:c r="AD13" s="36" t="n">
        <x:f>'主料系数展开'!K85</x:f>
        <x:v>0.1761834353695497</x:v>
      </x:c>
      <x:c r="AE13" s="36" t="n">
        <x:f>'主料系数展开'!K86</x:f>
        <x:v>0.4670134452370896</x:v>
      </x:c>
      <x:c r="AF13" s="36" t="n">
        <x:f>'主料系数展开'!K87</x:f>
        <x:v>0.08665558845811161</x:v>
      </x:c>
      <x:c r="AG13" s="36" t="n">
        <x:f>'主料系数展开'!K88</x:f>
        <x:v>0.13760794189560444</x:v>
      </x:c>
      <x:c r="AH13" s="36" t="n">
        <x:f>'主料系数展开'!K89</x:f>
        <x:v>0</x:v>
      </x:c>
      <x:c r="AI13" s="36" t="n">
        <x:f>'主料系数展开'!K91</x:f>
        <x:v>0</x:v>
      </x:c>
      <x:c r="AJ13" s="36" t="n">
        <x:f>'主料系数展开'!K92</x:f>
        <x:v>0</x:v>
      </x:c>
      <x:c r="AK13" s="36" t="n">
        <x:f>'主料系数展开'!K93</x:f>
        <x:v>0</x:v>
      </x:c>
      <x:c r="AL13" s="36" t="n">
        <x:f>'主料系数展开'!K94</x:f>
        <x:v>0</x:v>
      </x:c>
      <x:c r="AM13" s="36" t="n">
        <x:f>'主料系数展开'!K95</x:f>
        <x:v>0</x:v>
      </x:c>
      <x:c r="AN13" s="36" t="n">
        <x:f>'主料系数展开'!K96</x:f>
        <x:v>0</x:v>
      </x:c>
      <x:c r="AO13" s="36" t="n">
        <x:f>'主料系数展开'!K97</x:f>
        <x:v>0</x:v>
      </x:c>
      <x:c r="AP13" s="36" t="n">
        <x:f>'主料系数展开'!K98</x:f>
        <x:v>0</x:v>
      </x:c>
      <x:c r="AQ13" s="36" t="n">
        <x:f>'主料系数展开'!K99</x:f>
        <x:v>0</x:v>
      </x:c>
      <x:c r="AR13" s="36" t="n">
        <x:f>'主料系数展开'!K100</x:f>
        <x:v>0</x:v>
      </x:c>
    </x:row>
    <x:row r="14" ht="40" customHeight="1">
      <x:c r="A14" s="22" t="str">
        <x:v>R09</x:v>
      </x:c>
      <x:c r="B14" s="22" t="str">
        <x:v>天然硫S</x:v>
      </x:c>
      <x:c r="C14" s="22" t="str">
        <x:v>kg有效组分当量</x:v>
      </x:c>
      <x:c r="D14" s="36" t="n">
        <x:f>'主料系数展开'!L59</x:f>
        <x:v>0</x:v>
      </x:c>
      <x:c r="E14" s="36" t="n">
        <x:f>'主料系数展开'!L60</x:f>
        <x:v>0</x:v>
      </x:c>
      <x:c r="F14" s="36" t="n">
        <x:f>'主料系数展开'!L61</x:f>
        <x:v>0</x:v>
      </x:c>
      <x:c r="G14" s="36" t="n">
        <x:f>'主料系数展开'!L62</x:f>
        <x:v>0</x:v>
      </x:c>
      <x:c r="H14" s="36" t="n">
        <x:f>'主料系数展开'!L63</x:f>
        <x:v>0</x:v>
      </x:c>
      <x:c r="I14" s="36" t="n">
        <x:f>'主料系数展开'!L64</x:f>
        <x:v>0</x:v>
      </x:c>
      <x:c r="J14" s="36" t="n">
        <x:f>'主料系数展开'!L65</x:f>
        <x:v>0</x:v>
      </x:c>
      <x:c r="K14" s="36" t="n">
        <x:f>'主料系数展开'!L66</x:f>
        <x:v>0</x:v>
      </x:c>
      <x:c r="L14" s="36" t="n">
        <x:f>'主料系数展开'!L67</x:f>
        <x:v>0</x:v>
      </x:c>
      <x:c r="M14" s="36" t="n">
        <x:f>'主料系数展开'!L68</x:f>
        <x:v>0</x:v>
      </x:c>
      <x:c r="N14" s="36" t="n">
        <x:f>'主料系数展开'!L69</x:f>
        <x:v>0</x:v>
      </x:c>
      <x:c r="O14" s="36" t="n">
        <x:f>'主料系数展开'!L70</x:f>
        <x:v>0</x:v>
      </x:c>
      <x:c r="P14" s="36" t="n">
        <x:f>'主料系数展开'!L71</x:f>
        <x:v>0</x:v>
      </x:c>
      <x:c r="Q14" s="36" t="n">
        <x:f>'主料系数展开'!L72</x:f>
        <x:v>0</x:v>
      </x:c>
      <x:c r="R14" s="36" t="n">
        <x:f>'主料系数展开'!L73</x:f>
        <x:v>0</x:v>
      </x:c>
      <x:c r="S14" s="36" t="n">
        <x:f>'主料系数展开'!L74</x:f>
        <x:v>0</x:v>
      </x:c>
      <x:c r="T14" s="36" t="n">
        <x:f>'主料系数展开'!L75</x:f>
        <x:v>0</x:v>
      </x:c>
      <x:c r="U14" s="36" t="n">
        <x:f>'主料系数展开'!L76</x:f>
        <x:v>0</x:v>
      </x:c>
      <x:c r="V14" s="36" t="n">
        <x:f>'主料系数展开'!L77</x:f>
        <x:v>0</x:v>
      </x:c>
      <x:c r="W14" s="36" t="n">
        <x:f>'主料系数展开'!L78</x:f>
        <x:v>0</x:v>
      </x:c>
      <x:c r="X14" s="36" t="n">
        <x:f>'主料系数展开'!L79</x:f>
        <x:v>0</x:v>
      </x:c>
      <x:c r="Y14" s="36" t="n">
        <x:f>'主料系数展开'!L80</x:f>
        <x:v>0</x:v>
      </x:c>
      <x:c r="Z14" s="36" t="n">
        <x:f>'主料系数展开'!L81</x:f>
        <x:v>0.464536694921394</x:v>
      </x:c>
      <x:c r="AA14" s="36" t="n">
        <x:f>'主料系数展开'!L82</x:f>
        <x:v>0.18398641048596287</x:v>
      </x:c>
      <x:c r="AB14" s="36" t="n">
        <x:f>'主料系数展开'!L83</x:f>
        <x:v>0</x:v>
      </x:c>
      <x:c r="AC14" s="36" t="n">
        <x:f>'主料系数展开'!L84</x:f>
        <x:v>0</x:v>
      </x:c>
      <x:c r="AD14" s="36" t="n">
        <x:f>'主料系数展开'!L85</x:f>
        <x:v>0.038111768893507356</x:v>
      </x:c>
      <x:c r="AE14" s="36" t="n">
        <x:f>'主料系数展开'!L86</x:f>
        <x:v>0.054576219348424895</x:v>
      </x:c>
      <x:c r="AF14" s="36" t="n">
        <x:f>'主料系数展开'!L87</x:f>
        <x:v>0.02560036397733073</x:v>
      </x:c>
      <x:c r="AG14" s="36" t="n">
        <x:f>'主料系数展开'!L88</x:f>
        <x:v>0.03426503962476108</x:v>
      </x:c>
      <x:c r="AH14" s="36" t="n">
        <x:f>'主料系数展开'!L89</x:f>
        <x:v>0</x:v>
      </x:c>
      <x:c r="AI14" s="36" t="n">
        <x:f>'主料系数展开'!L91</x:f>
        <x:v>0</x:v>
      </x:c>
      <x:c r="AJ14" s="36" t="n">
        <x:f>'主料系数展开'!L92</x:f>
        <x:v>0</x:v>
      </x:c>
      <x:c r="AK14" s="36" t="n">
        <x:f>'主料系数展开'!L93</x:f>
        <x:v>0</x:v>
      </x:c>
      <x:c r="AL14" s="36" t="n">
        <x:f>'主料系数展开'!L94</x:f>
        <x:v>0</x:v>
      </x:c>
      <x:c r="AM14" s="36" t="n">
        <x:f>'主料系数展开'!L95</x:f>
        <x:v>0</x:v>
      </x:c>
      <x:c r="AN14" s="36" t="n">
        <x:f>'主料系数展开'!L96</x:f>
        <x:v>0</x:v>
      </x:c>
      <x:c r="AO14" s="36" t="n">
        <x:f>'主料系数展开'!L97</x:f>
        <x:v>0</x:v>
      </x:c>
      <x:c r="AP14" s="36" t="n">
        <x:f>'主料系数展开'!L98</x:f>
        <x:v>0</x:v>
      </x:c>
      <x:c r="AQ14" s="36" t="n">
        <x:f>'主料系数展开'!L99</x:f>
        <x:v>0</x:v>
      </x:c>
      <x:c r="AR14" s="36" t="n">
        <x:f>'主料系数展开'!L100</x:f>
        <x:v>0</x:v>
      </x:c>
    </x:row>
    <x:row r="15" ht="40" customHeight="1">
      <x:c r="A15" s="22" t="str">
        <x:v>R10</x:v>
      </x:c>
      <x:c r="B15" s="22" t="str">
        <x:v>磷灰石Ca₅(PO₄)₃F当量</x:v>
      </x:c>
      <x:c r="C15" s="22" t="str">
        <x:v>kg有效组分当量</x:v>
      </x:c>
      <x:c r="D15" s="36" t="n">
        <x:f>'主料系数展开'!M59</x:f>
        <x:v>0</x:v>
      </x:c>
      <x:c r="E15" s="36" t="n">
        <x:f>'主料系数展开'!M60</x:f>
        <x:v>0</x:v>
      </x:c>
      <x:c r="F15" s="36" t="n">
        <x:f>'主料系数展开'!M61</x:f>
        <x:v>0</x:v>
      </x:c>
      <x:c r="G15" s="36" t="n">
        <x:f>'主料系数展开'!M62</x:f>
        <x:v>0</x:v>
      </x:c>
      <x:c r="H15" s="36" t="n">
        <x:f>'主料系数展开'!M63</x:f>
        <x:v>0</x:v>
      </x:c>
      <x:c r="I15" s="36" t="n">
        <x:f>'主料系数展开'!M64</x:f>
        <x:v>0</x:v>
      </x:c>
      <x:c r="J15" s="36" t="n">
        <x:f>'主料系数展开'!M65</x:f>
        <x:v>0</x:v>
      </x:c>
      <x:c r="K15" s="36" t="n">
        <x:f>'主料系数展开'!M66</x:f>
        <x:v>0</x:v>
      </x:c>
      <x:c r="L15" s="36" t="n">
        <x:f>'主料系数展开'!M67</x:f>
        <x:v>0</x:v>
      </x:c>
      <x:c r="M15" s="36" t="n">
        <x:f>'主料系数展开'!M68</x:f>
        <x:v>0</x:v>
      </x:c>
      <x:c r="N15" s="36" t="n">
        <x:f>'主料系数展开'!M69</x:f>
        <x:v>0</x:v>
      </x:c>
      <x:c r="O15" s="36" t="n">
        <x:f>'主料系数展开'!M70</x:f>
        <x:v>0</x:v>
      </x:c>
      <x:c r="P15" s="36" t="n">
        <x:f>'主料系数展开'!M71</x:f>
        <x:v>0</x:v>
      </x:c>
      <x:c r="Q15" s="36" t="n">
        <x:f>'主料系数展开'!M72</x:f>
        <x:v>0</x:v>
      </x:c>
      <x:c r="R15" s="36" t="n">
        <x:f>'主料系数展开'!M73</x:f>
        <x:v>0</x:v>
      </x:c>
      <x:c r="S15" s="36" t="n">
        <x:f>'主料系数展开'!M74</x:f>
        <x:v>0</x:v>
      </x:c>
      <x:c r="T15" s="36" t="n">
        <x:f>'主料系数展开'!M75</x:f>
        <x:v>0</x:v>
      </x:c>
      <x:c r="U15" s="36" t="n">
        <x:f>'主料系数展开'!M76</x:f>
        <x:v>0</x:v>
      </x:c>
      <x:c r="V15" s="36" t="n">
        <x:f>'主料系数展开'!M77</x:f>
        <x:v>0</x:v>
      </x:c>
      <x:c r="W15" s="36" t="n">
        <x:f>'主料系数展开'!M78</x:f>
        <x:v>0</x:v>
      </x:c>
      <x:c r="X15" s="36" t="n">
        <x:f>'主料系数展开'!M79</x:f>
        <x:v>0</x:v>
      </x:c>
      <x:c r="Y15" s="36" t="n">
        <x:f>'主料系数展开'!M80</x:f>
        <x:v>0</x:v>
      </x:c>
      <x:c r="Z15" s="36" t="n">
        <x:f>'主料系数展开'!M81</x:f>
        <x:v>1.4614156342824025</x:v>
      </x:c>
      <x:c r="AA15" s="36" t="n">
        <x:f>'主料系数展开'!M82</x:f>
        <x:v>0</x:v>
      </x:c>
      <x:c r="AB15" s="36" t="n">
        <x:f>'主料系数展开'!M83</x:f>
        <x:v>0</x:v>
      </x:c>
      <x:c r="AC15" s="36" t="n">
        <x:f>'主料系数展开'!M84</x:f>
        <x:v>0</x:v>
      </x:c>
      <x:c r="AD15" s="36" t="n">
        <x:f>'主料系数展开'!M85</x:f>
        <x:v>0.04824098586867362</x:v>
      </x:c>
      <x:c r="AE15" s="36" t="n">
        <x:f>'主料系数展开'!M86</x:f>
        <x:v>0.08140666365338672</x:v>
      </x:c>
      <x:c r="AF15" s="36" t="n">
        <x:f>'主料系数展开'!M87</x:f>
        <x:v>0.02894459152120417</x:v>
      </x:c>
      <x:c r="AG15" s="36" t="n">
        <x:f>'主料系数展开'!M88</x:f>
        <x:v>0.031924181824857546</x:v>
      </x:c>
      <x:c r="AH15" s="36" t="n">
        <x:f>'主料系数展开'!M89</x:f>
        <x:v>0</x:v>
      </x:c>
      <x:c r="AI15" s="36" t="n">
        <x:f>'主料系数展开'!M91</x:f>
        <x:v>0.00002</x:v>
      </x:c>
      <x:c r="AJ15" s="36" t="n">
        <x:f>'主料系数展开'!M92</x:f>
        <x:v>0</x:v>
      </x:c>
      <x:c r="AK15" s="36" t="n">
        <x:f>'主料系数展开'!M93</x:f>
        <x:v>0</x:v>
      </x:c>
      <x:c r="AL15" s="36" t="n">
        <x:f>'主料系数展开'!M94</x:f>
        <x:v>0</x:v>
      </x:c>
      <x:c r="AM15" s="36" t="n">
        <x:f>'主料系数展开'!M95</x:f>
        <x:v>0</x:v>
      </x:c>
      <x:c r="AN15" s="36" t="n">
        <x:f>'主料系数展开'!M96</x:f>
        <x:v>0</x:v>
      </x:c>
      <x:c r="AO15" s="36" t="n">
        <x:f>'主料系数展开'!M97</x:f>
        <x:v>0</x:v>
      </x:c>
      <x:c r="AP15" s="36" t="n">
        <x:f>'主料系数展开'!M98</x:f>
        <x:v>0</x:v>
      </x:c>
      <x:c r="AQ15" s="36" t="n">
        <x:f>'主料系数展开'!M99</x:f>
        <x:v>0</x:v>
      </x:c>
      <x:c r="AR15" s="36" t="n">
        <x:f>'主料系数展开'!M100</x:f>
        <x:v>0</x:v>
      </x:c>
    </x:row>
    <x:row r="16" ht="40" customHeight="1">
      <x:c r="A16" s="22" t="str">
        <x:v>R11</x:v>
      </x:c>
      <x:c r="B16" s="22" t="str">
        <x:v>可选钾盐KCl</x:v>
      </x:c>
      <x:c r="C16" s="22" t="str">
        <x:v>kg有效组分当量</x:v>
      </x:c>
      <x:c r="D16" s="36" t="n">
        <x:f>'主料系数展开'!N59</x:f>
        <x:v>0</x:v>
      </x:c>
      <x:c r="E16" s="36" t="n">
        <x:f>'主料系数展开'!N60</x:f>
        <x:v>0</x:v>
      </x:c>
      <x:c r="F16" s="36" t="n">
        <x:f>'主料系数展开'!N61</x:f>
        <x:v>0</x:v>
      </x:c>
      <x:c r="G16" s="36" t="n">
        <x:f>'主料系数展开'!N62</x:f>
        <x:v>0</x:v>
      </x:c>
      <x:c r="H16" s="36" t="n">
        <x:f>'主料系数展开'!N63</x:f>
        <x:v>0</x:v>
      </x:c>
      <x:c r="I16" s="36" t="n">
        <x:f>'主料系数展开'!N64</x:f>
        <x:v>0</x:v>
      </x:c>
      <x:c r="J16" s="36" t="n">
        <x:f>'主料系数展开'!N65</x:f>
        <x:v>0</x:v>
      </x:c>
      <x:c r="K16" s="36" t="n">
        <x:f>'主料系数展开'!N66</x:f>
        <x:v>0</x:v>
      </x:c>
      <x:c r="L16" s="36" t="n">
        <x:f>'主料系数展开'!N67</x:f>
        <x:v>0</x:v>
      </x:c>
      <x:c r="M16" s="36" t="n">
        <x:f>'主料系数展开'!N68</x:f>
        <x:v>0</x:v>
      </x:c>
      <x:c r="N16" s="36" t="n">
        <x:f>'主料系数展开'!N69</x:f>
        <x:v>0</x:v>
      </x:c>
      <x:c r="O16" s="36" t="n">
        <x:f>'主料系数展开'!N70</x:f>
        <x:v>0</x:v>
      </x:c>
      <x:c r="P16" s="36" t="n">
        <x:f>'主料系数展开'!N71</x:f>
        <x:v>0</x:v>
      </x:c>
      <x:c r="Q16" s="36" t="n">
        <x:f>'主料系数展开'!N72</x:f>
        <x:v>0</x:v>
      </x:c>
      <x:c r="R16" s="36" t="n">
        <x:f>'主料系数展开'!N73</x:f>
        <x:v>0</x:v>
      </x:c>
      <x:c r="S16" s="36" t="n">
        <x:f>'主料系数展开'!N74</x:f>
        <x:v>0</x:v>
      </x:c>
      <x:c r="T16" s="36" t="n">
        <x:f>'主料系数展开'!N75</x:f>
        <x:v>0</x:v>
      </x:c>
      <x:c r="U16" s="36" t="n">
        <x:f>'主料系数展开'!N76</x:f>
        <x:v>0</x:v>
      </x:c>
      <x:c r="V16" s="36" t="n">
        <x:f>'主料系数展开'!N77</x:f>
        <x:v>0</x:v>
      </x:c>
      <x:c r="W16" s="36" t="n">
        <x:f>'主料系数展开'!N78</x:f>
        <x:v>0</x:v>
      </x:c>
      <x:c r="X16" s="36" t="n">
        <x:f>'主料系数展开'!N79</x:f>
        <x:v>0</x:v>
      </x:c>
      <x:c r="Y16" s="36" t="n">
        <x:f>'主料系数展开'!N80</x:f>
        <x:v>0</x:v>
      </x:c>
      <x:c r="Z16" s="36" t="n">
        <x:f>'主料系数展开'!N81</x:f>
        <x:v>0</x:v>
      </x:c>
      <x:c r="AA16" s="36" t="n">
        <x:f>'主料系数展开'!N82</x:f>
        <x:v>0.8556343686155682</x:v>
      </x:c>
      <x:c r="AB16" s="36" t="n">
        <x:f>'主料系数展开'!N83</x:f>
        <x:v>0</x:v>
      </x:c>
      <x:c r="AC16" s="36" t="n">
        <x:f>'主料系数展开'!N84</x:f>
        <x:v>0</x:v>
      </x:c>
      <x:c r="AD16" s="36" t="n">
        <x:f>'主料系数展开'!N85</x:f>
        <x:v>0.10592755526000194</x:v>
      </x:c>
      <x:c r="AE16" s="36" t="n">
        <x:f>'主料系数展开'!N86</x:f>
        <x:v>0.13346871962760246</x:v>
      </x:c>
      <x:c r="AF16" s="36" t="n">
        <x:f>'主料系数展开'!N87</x:f>
        <x:v>0.07626783978720138</x:v>
      </x:c>
      <x:c r="AG16" s="36" t="n">
        <x:f>'主料系数展开'!N88</x:f>
        <x:v>0.112158587922355</x:v>
      </x:c>
      <x:c r="AH16" s="36" t="n">
        <x:f>'主料系数展开'!N89</x:f>
        <x:v>0</x:v>
      </x:c>
      <x:c r="AI16" s="36" t="n">
        <x:f>'主料系数展开'!N91</x:f>
        <x:v>0</x:v>
      </x:c>
      <x:c r="AJ16" s="36" t="n">
        <x:f>'主料系数展开'!N92</x:f>
        <x:v>0</x:v>
      </x:c>
      <x:c r="AK16" s="36" t="n">
        <x:f>'主料系数展开'!N93</x:f>
        <x:v>0</x:v>
      </x:c>
      <x:c r="AL16" s="36" t="n">
        <x:f>'主料系数展开'!N94</x:f>
        <x:v>0.6643614651100616</x:v>
      </x:c>
      <x:c r="AM16" s="36" t="n">
        <x:f>'主料系数展开'!N95</x:f>
        <x:v>0</x:v>
      </x:c>
      <x:c r="AN16" s="36" t="n">
        <x:f>'主料系数展开'!N96</x:f>
        <x:v>0</x:v>
      </x:c>
      <x:c r="AO16" s="36" t="n">
        <x:f>'主料系数展开'!N97</x:f>
        <x:v>0</x:v>
      </x:c>
      <x:c r="AP16" s="36" t="n">
        <x:f>'主料系数展开'!N98</x:f>
        <x:v>0</x:v>
      </x:c>
      <x:c r="AQ16" s="36" t="n">
        <x:f>'主料系数展开'!N99</x:f>
        <x:v>2.657445860440246</x:v>
      </x:c>
      <x:c r="AR16" s="36" t="n">
        <x:f>'主料系数展开'!N100</x:f>
        <x:v>0</x:v>
      </x:c>
    </x:row>
    <x:row r="17" ht="40" customHeight="1">
      <x:c r="A17" s="22" t="str">
        <x:v>R12</x:v>
      </x:c>
      <x:c r="B17" s="22" t="str">
        <x:v>含水硫酸镁MgSO₄·H₂O当量</x:v>
      </x:c>
      <x:c r="C17" s="22" t="str">
        <x:v>kg有效组分当量</x:v>
      </x:c>
      <x:c r="D17" s="36" t="n">
        <x:f>'主料系数展开'!O59</x:f>
        <x:v>0</x:v>
      </x:c>
      <x:c r="E17" s="36" t="n">
        <x:f>'主料系数展开'!O60</x:f>
        <x:v>0</x:v>
      </x:c>
      <x:c r="F17" s="36" t="n">
        <x:f>'主料系数展开'!O61</x:f>
        <x:v>0</x:v>
      </x:c>
      <x:c r="G17" s="36" t="n">
        <x:f>'主料系数展开'!O62</x:f>
        <x:v>0</x:v>
      </x:c>
      <x:c r="H17" s="36" t="n">
        <x:f>'主料系数展开'!O63</x:f>
        <x:v>0</x:v>
      </x:c>
      <x:c r="I17" s="36" t="n">
        <x:f>'主料系数展开'!O64</x:f>
        <x:v>0</x:v>
      </x:c>
      <x:c r="J17" s="36" t="n">
        <x:f>'主料系数展开'!O65</x:f>
        <x:v>0</x:v>
      </x:c>
      <x:c r="K17" s="36" t="n">
        <x:f>'主料系数展开'!O66</x:f>
        <x:v>0</x:v>
      </x:c>
      <x:c r="L17" s="36" t="n">
        <x:f>'主料系数展开'!O67</x:f>
        <x:v>0</x:v>
      </x:c>
      <x:c r="M17" s="36" t="n">
        <x:f>'主料系数展开'!O68</x:f>
        <x:v>0</x:v>
      </x:c>
      <x:c r="N17" s="36" t="n">
        <x:f>'主料系数展开'!O69</x:f>
        <x:v>0</x:v>
      </x:c>
      <x:c r="O17" s="36" t="n">
        <x:f>'主料系数展开'!O70</x:f>
        <x:v>0</x:v>
      </x:c>
      <x:c r="P17" s="36" t="n">
        <x:f>'主料系数展开'!O71</x:f>
        <x:v>0</x:v>
      </x:c>
      <x:c r="Q17" s="36" t="n">
        <x:f>'主料系数展开'!O72</x:f>
        <x:v>0</x:v>
      </x:c>
      <x:c r="R17" s="36" t="n">
        <x:f>'主料系数展开'!O73</x:f>
        <x:v>0</x:v>
      </x:c>
      <x:c r="S17" s="36" t="n">
        <x:f>'主料系数展开'!O74</x:f>
        <x:v>0</x:v>
      </x:c>
      <x:c r="T17" s="36" t="n">
        <x:f>'主料系数展开'!O75</x:f>
        <x:v>0</x:v>
      </x:c>
      <x:c r="U17" s="36" t="n">
        <x:f>'主料系数展开'!O76</x:f>
        <x:v>0</x:v>
      </x:c>
      <x:c r="V17" s="36" t="n">
        <x:f>'主料系数展开'!O77</x:f>
        <x:v>0</x:v>
      </x:c>
      <x:c r="W17" s="36" t="n">
        <x:f>'主料系数展开'!O78</x:f>
        <x:v>0</x:v>
      </x:c>
      <x:c r="X17" s="36" t="n">
        <x:f>'主料系数展开'!O79</x:f>
        <x:v>0</x:v>
      </x:c>
      <x:c r="Y17" s="36" t="n">
        <x:f>'主料系数展开'!O80</x:f>
        <x:v>0</x:v>
      </x:c>
      <x:c r="Z17" s="36" t="n">
        <x:f>'主料系数展开'!O81</x:f>
        <x:v>0</x:v>
      </x:c>
      <x:c r="AA17" s="36" t="n">
        <x:f>'主料系数展开'!O82</x:f>
        <x:v>0</x:v>
      </x:c>
      <x:c r="AB17" s="36" t="n">
        <x:f>'主料系数展开'!O83</x:f>
        <x:v>0.5614405232364708</x:v>
      </x:c>
      <x:c r="AC17" s="36" t="n">
        <x:f>'主料系数展开'!O84</x:f>
        <x:v>0</x:v>
      </x:c>
      <x:c r="AD17" s="36" t="n">
        <x:f>'主料系数展开'!O85</x:f>
        <x:v>0.03795542755262978</x:v>
      </x:c>
      <x:c r="AE17" s="36" t="n">
        <x:f>'主料系数展开'!O86</x:f>
        <x:v>0.05693314132894466</x:v>
      </x:c>
      <x:c r="AF17" s="36" t="n">
        <x:f>'主料系数展开'!O87</x:f>
        <x:v>0.022773256531577864</x:v>
      </x:c>
      <x:c r="AG17" s="36" t="n">
        <x:f>'主料系数展开'!O88</x:f>
        <x:v>0.03349008313467334</x:v>
      </x:c>
      <x:c r="AH17" s="36" t="n">
        <x:f>'主料系数展开'!O89</x:f>
        <x:v>0</x:v>
      </x:c>
      <x:c r="AI17" s="36" t="n">
        <x:f>'主料系数展开'!O91</x:f>
        <x:v>0</x:v>
      </x:c>
      <x:c r="AJ17" s="36" t="n">
        <x:f>'主料系数展开'!O92</x:f>
        <x:v>0</x:v>
      </x:c>
      <x:c r="AK17" s="36" t="n">
        <x:f>'主料系数展开'!O93</x:f>
        <x:v>0</x:v>
      </x:c>
      <x:c r="AL17" s="36" t="n">
        <x:f>'主料系数展开'!O94</x:f>
        <x:v>0</x:v>
      </x:c>
      <x:c r="AM17" s="36" t="n">
        <x:f>'主料系数展开'!O95</x:f>
        <x:v>0</x:v>
      </x:c>
      <x:c r="AN17" s="36" t="n">
        <x:f>'主料系数展开'!O96</x:f>
        <x:v>0</x:v>
      </x:c>
      <x:c r="AO17" s="36" t="n">
        <x:f>'主料系数展开'!O97</x:f>
        <x:v>0</x:v>
      </x:c>
      <x:c r="AP17" s="36" t="n">
        <x:f>'主料系数展开'!O98</x:f>
        <x:v>0</x:v>
      </x:c>
      <x:c r="AQ17" s="36" t="n">
        <x:f>'主料系数展开'!O99</x:f>
        <x:v>0</x:v>
      </x:c>
      <x:c r="AR17" s="36" t="n">
        <x:f>'主料系数展开'!O100</x:f>
        <x:v>0</x:v>
      </x:c>
    </x:row>
    <x:row r="18" ht="40" customHeight="1">
      <x:c r="A18" s="22" t="str">
        <x:v>R13</x:v>
      </x:c>
      <x:c r="B18" s="22" t="str">
        <x:v>氯化钠NaCl</x:v>
      </x:c>
      <x:c r="C18" s="22" t="str">
        <x:v>kg有效组分当量</x:v>
      </x:c>
      <x:c r="D18" s="36" t="n">
        <x:f>'主料系数展开'!P59</x:f>
        <x:v>0</x:v>
      </x:c>
      <x:c r="E18" s="36" t="n">
        <x:f>'主料系数展开'!P60</x:f>
        <x:v>0</x:v>
      </x:c>
      <x:c r="F18" s="36" t="n">
        <x:f>'主料系数展开'!P61</x:f>
        <x:v>0</x:v>
      </x:c>
      <x:c r="G18" s="36" t="n">
        <x:f>'主料系数展开'!P62</x:f>
        <x:v>0</x:v>
      </x:c>
      <x:c r="H18" s="36" t="n">
        <x:f>'主料系数展开'!P63</x:f>
        <x:v>0</x:v>
      </x:c>
      <x:c r="I18" s="36" t="n">
        <x:f>'主料系数展开'!P64</x:f>
        <x:v>0</x:v>
      </x:c>
      <x:c r="J18" s="36" t="n">
        <x:f>'主料系数展开'!P65</x:f>
        <x:v>0</x:v>
      </x:c>
      <x:c r="K18" s="36" t="n">
        <x:f>'主料系数展开'!P66</x:f>
        <x:v>0</x:v>
      </x:c>
      <x:c r="L18" s="36" t="n">
        <x:f>'主料系数展开'!P67</x:f>
        <x:v>0</x:v>
      </x:c>
      <x:c r="M18" s="36" t="n">
        <x:f>'主料系数展开'!P68</x:f>
        <x:v>0</x:v>
      </x:c>
      <x:c r="N18" s="36" t="n">
        <x:f>'主料系数展开'!P69</x:f>
        <x:v>0</x:v>
      </x:c>
      <x:c r="O18" s="36" t="n">
        <x:f>'主料系数展开'!P70</x:f>
        <x:v>0</x:v>
      </x:c>
      <x:c r="P18" s="36" t="n">
        <x:f>'主料系数展开'!P71</x:f>
        <x:v>0</x:v>
      </x:c>
      <x:c r="Q18" s="36" t="n">
        <x:f>'主料系数展开'!P72</x:f>
        <x:v>0</x:v>
      </x:c>
      <x:c r="R18" s="36" t="n">
        <x:f>'主料系数展开'!P73</x:f>
        <x:v>0</x:v>
      </x:c>
      <x:c r="S18" s="36" t="n">
        <x:f>'主料系数展开'!P74</x:f>
        <x:v>0</x:v>
      </x:c>
      <x:c r="T18" s="36" t="n">
        <x:f>'主料系数展开'!P75</x:f>
        <x:v>0</x:v>
      </x:c>
      <x:c r="U18" s="36" t="n">
        <x:f>'主料系数展开'!P76</x:f>
        <x:v>0</x:v>
      </x:c>
      <x:c r="V18" s="36" t="n">
        <x:f>'主料系数展开'!P77</x:f>
        <x:v>0</x:v>
      </x:c>
      <x:c r="W18" s="36" t="n">
        <x:f>'主料系数展开'!P78</x:f>
        <x:v>0</x:v>
      </x:c>
      <x:c r="X18" s="36" t="n">
        <x:f>'主料系数展开'!P79</x:f>
        <x:v>0</x:v>
      </x:c>
      <x:c r="Y18" s="36" t="n">
        <x:f>'主料系数展开'!P80</x:f>
        <x:v>0</x:v>
      </x:c>
      <x:c r="Z18" s="36" t="n">
        <x:f>'主料系数展开'!P81</x:f>
        <x:v>0</x:v>
      </x:c>
      <x:c r="AA18" s="36" t="n">
        <x:f>'主料系数展开'!P82</x:f>
        <x:v>0</x:v>
      </x:c>
      <x:c r="AB18" s="36" t="n">
        <x:f>'主料系数展开'!P83</x:f>
        <x:v>0</x:v>
      </x:c>
      <x:c r="AC18" s="36" t="n">
        <x:f>'主料系数展开'!P84</x:f>
        <x:v>0</x:v>
      </x:c>
      <x:c r="AD18" s="36" t="n">
        <x:f>'主料系数展开'!P85</x:f>
        <x:v>0</x:v>
      </x:c>
      <x:c r="AE18" s="36" t="n">
        <x:f>'主料系数展开'!P86</x:f>
        <x:v>0</x:v>
      </x:c>
      <x:c r="AF18" s="36" t="n">
        <x:f>'主料系数展开'!P87</x:f>
        <x:v>0</x:v>
      </x:c>
      <x:c r="AG18" s="36" t="n">
        <x:f>'主料系数展开'!P88</x:f>
        <x:v>0</x:v>
      </x:c>
      <x:c r="AH18" s="36" t="n">
        <x:f>'主料系数展开'!P89</x:f>
        <x:v>0</x:v>
      </x:c>
      <x:c r="AI18" s="36" t="n">
        <x:f>'主料系数展开'!P91</x:f>
        <x:v>0</x:v>
      </x:c>
      <x:c r="AJ18" s="36" t="n">
        <x:f>'主料系数展开'!P92</x:f>
        <x:v>0</x:v>
      </x:c>
      <x:c r="AK18" s="36" t="n">
        <x:f>'主料系数展开'!P93</x:f>
        <x:v>0</x:v>
      </x:c>
      <x:c r="AL18" s="36" t="n">
        <x:f>'主料系数展开'!P94</x:f>
        <x:v>0</x:v>
      </x:c>
      <x:c r="AM18" s="36" t="n">
        <x:f>'主料系数展开'!P95</x:f>
        <x:v>0</x:v>
      </x:c>
      <x:c r="AN18" s="36" t="n">
        <x:f>'主料系数展开'!P96</x:f>
        <x:v>0</x:v>
      </x:c>
      <x:c r="AO18" s="36" t="n">
        <x:f>'主料系数展开'!P97</x:f>
        <x:v>0</x:v>
      </x:c>
      <x:c r="AP18" s="36" t="n">
        <x:f>'主料系数展开'!P98</x:f>
        <x:v>0</x:v>
      </x:c>
      <x:c r="AQ18" s="36" t="n">
        <x:f>'主料系数展开'!P99</x:f>
        <x:v>0</x:v>
      </x:c>
      <x:c r="AR18" s="36" t="n">
        <x:f>'主料系数展开'!P100</x:f>
        <x:v>0</x:v>
      </x:c>
    </x:row>
    <x:row r="19" ht="40" customHeight="1">
      <x:c r="A19" s="22" t="str">
        <x:v>R14</x:v>
      </x:c>
      <x:c r="B19" s="22" t="str">
        <x:v>铜矿CuO当量</x:v>
      </x:c>
      <x:c r="C19" s="22" t="str">
        <x:v>kg有效组分当量</x:v>
      </x:c>
      <x:c r="D19" s="36" t="n">
        <x:f>'主料系数展开'!Q59</x:f>
        <x:v>0</x:v>
      </x:c>
      <x:c r="E19" s="36" t="n">
        <x:f>'主料系数展开'!Q60</x:f>
        <x:v>0</x:v>
      </x:c>
      <x:c r="F19" s="36" t="n">
        <x:f>'主料系数展开'!Q61</x:f>
        <x:v>0</x:v>
      </x:c>
      <x:c r="G19" s="36" t="n">
        <x:f>'主料系数展开'!Q62</x:f>
        <x:v>0</x:v>
      </x:c>
      <x:c r="H19" s="36" t="n">
        <x:f>'主料系数展开'!Q63</x:f>
        <x:v>0</x:v>
      </x:c>
      <x:c r="I19" s="36" t="n">
        <x:f>'主料系数展开'!Q64</x:f>
        <x:v>1.2517703710697763</x:v>
      </x:c>
      <x:c r="J19" s="36" t="n">
        <x:f>'主料系数展开'!Q65</x:f>
        <x:v>0</x:v>
      </x:c>
      <x:c r="K19" s="36" t="n">
        <x:f>'主料系数展开'!Q66</x:f>
        <x:v>0</x:v>
      </x:c>
      <x:c r="L19" s="36" t="n">
        <x:f>'主料系数展开'!Q67</x:f>
        <x:v>0</x:v>
      </x:c>
      <x:c r="M19" s="36" t="n">
        <x:f>'主料系数展开'!Q68</x:f>
        <x:v>0</x:v>
      </x:c>
      <x:c r="N19" s="36" t="n">
        <x:f>'主料系数展开'!Q69</x:f>
        <x:v>1.8776555566046644</x:v>
      </x:c>
      <x:c r="O19" s="36" t="n">
        <x:f>'主料系数展开'!Q70</x:f>
        <x:v>2.5035407421395526</x:v>
      </x:c>
      <x:c r="P19" s="36" t="n">
        <x:f>'主料系数展开'!Q71</x:f>
        <x:v>0.6258851855348881</x:v>
      </x:c>
      <x:c r="Q19" s="36" t="n">
        <x:f>'主料系数展开'!Q72</x:f>
        <x:v>0.6258851855348881</x:v>
      </x:c>
      <x:c r="R19" s="36" t="n">
        <x:f>'主料系数展开'!Q73</x:f>
        <x:v>3.755311113209329</x:v>
      </x:c>
      <x:c r="S19" s="36" t="n">
        <x:f>'主料系数展开'!Q74</x:f>
        <x:v>1.2517703710697763</x:v>
      </x:c>
      <x:c r="T19" s="36" t="n">
        <x:f>'主料系数展开'!Q75</x:f>
        <x:v>2.5035407421395526</x:v>
      </x:c>
      <x:c r="U19" s="36" t="n">
        <x:f>'主料系数展开'!Q76</x:f>
        <x:v>0</x:v>
      </x:c>
      <x:c r="V19" s="36" t="n">
        <x:f>'主料系数展开'!Q77</x:f>
        <x:v>0</x:v>
      </x:c>
      <x:c r="W19" s="36" t="n">
        <x:f>'主料系数展开'!Q78</x:f>
        <x:v>1.0014162968558211</x:v>
      </x:c>
      <x:c r="X19" s="36" t="n">
        <x:f>'主料系数展开'!Q79</x:f>
        <x:v>0</x:v>
      </x:c>
      <x:c r="Y19" s="36" t="n">
        <x:f>'主料系数展开'!Q80</x:f>
        <x:v>0</x:v>
      </x:c>
      <x:c r="Z19" s="36" t="n">
        <x:f>'主料系数展开'!Q81</x:f>
        <x:v>0</x:v>
      </x:c>
      <x:c r="AA19" s="36" t="n">
        <x:f>'主料系数展开'!Q82</x:f>
        <x:v>0</x:v>
      </x:c>
      <x:c r="AB19" s="36" t="n">
        <x:f>'主料系数展开'!Q83</x:f>
        <x:v>0</x:v>
      </x:c>
      <x:c r="AC19" s="36" t="n">
        <x:f>'主料系数展开'!Q84</x:f>
        <x:v>0</x:v>
      </x:c>
      <x:c r="AD19" s="36" t="n">
        <x:f>'主料系数展开'!Q85</x:f>
        <x:v>0</x:v>
      </x:c>
      <x:c r="AE19" s="36" t="n">
        <x:f>'主料系数展开'!Q86</x:f>
        <x:v>0</x:v>
      </x:c>
      <x:c r="AF19" s="36" t="n">
        <x:f>'主料系数展开'!Q87</x:f>
        <x:v>0</x:v>
      </x:c>
      <x:c r="AG19" s="36" t="n">
        <x:f>'主料系数展开'!Q88</x:f>
        <x:v>0</x:v>
      </x:c>
      <x:c r="AH19" s="36" t="n">
        <x:f>'主料系数展开'!Q89</x:f>
        <x:v>0.09388277783023323</x:v>
      </x:c>
      <x:c r="AI19" s="36" t="n">
        <x:f>'主料系数展开'!Q91</x:f>
        <x:v>0.17524785194976866</x:v>
      </x:c>
      <x:c r="AJ19" s="36" t="n">
        <x:f>'主料系数展开'!Q92</x:f>
        <x:v>0.6258851855348881</x:v>
      </x:c>
      <x:c r="AK19" s="36" t="n">
        <x:f>'主料系数展开'!Q93</x:f>
        <x:v>0</x:v>
      </x:c>
      <x:c r="AL19" s="36" t="n">
        <x:f>'主料系数展开'!Q94</x:f>
        <x:v>1.2517703710697763</x:v>
      </x:c>
      <x:c r="AM19" s="36" t="n">
        <x:f>'主料系数展开'!Q95</x:f>
        <x:v>2.5035407421395526</x:v>
      </x:c>
      <x:c r="AN19" s="36" t="n">
        <x:f>'主料系数展开'!Q96</x:f>
        <x:v>0</x:v>
      </x:c>
      <x:c r="AO19" s="36" t="n">
        <x:f>'主料系数展开'!Q97</x:f>
        <x:v>0</x:v>
      </x:c>
      <x:c r="AP19" s="36" t="n">
        <x:f>'主料系数展开'!Q98</x:f>
        <x:v>0</x:v>
      </x:c>
      <x:c r="AQ19" s="36" t="n">
        <x:f>'主料系数展开'!Q99</x:f>
        <x:v>0.6258851855348881</x:v>
      </x:c>
      <x:c r="AR19" s="36" t="n">
        <x:f>'主料系数展开'!Q100</x:f>
        <x:v>5.007081484279105</x:v>
      </x:c>
    </x:row>
    <x:row r="20" ht="40" customHeight="1">
      <x:c r="A20" s="22" t="str">
        <x:v>R15</x:v>
      </x:c>
      <x:c r="B20" s="22" t="str">
        <x:v>镍矿NiO当量</x:v>
      </x:c>
      <x:c r="C20" s="22" t="str">
        <x:v>kg有效组分当量</x:v>
      </x:c>
      <x:c r="D20" s="36" t="n">
        <x:f>'主料系数展开'!R59</x:f>
        <x:v>0</x:v>
      </x:c>
      <x:c r="E20" s="36" t="n">
        <x:f>'主料系数展开'!R60</x:f>
        <x:v>0</x:v>
      </x:c>
      <x:c r="F20" s="36" t="n">
        <x:f>'主料系数展开'!R61</x:f>
        <x:v>0</x:v>
      </x:c>
      <x:c r="G20" s="36" t="n">
        <x:f>'主料系数展开'!R62</x:f>
        <x:v>0</x:v>
      </x:c>
      <x:c r="H20" s="36" t="n">
        <x:f>'主料系数展开'!R63</x:f>
        <x:v>0</x:v>
      </x:c>
      <x:c r="I20" s="36" t="n">
        <x:f>'主料系数展开'!R64</x:f>
        <x:v>0</x:v>
      </x:c>
      <x:c r="J20" s="36" t="n">
        <x:f>'主料系数展开'!R65</x:f>
        <x:v>0</x:v>
      </x:c>
      <x:c r="K20" s="36" t="n">
        <x:f>'主料系数展开'!R66</x:f>
        <x:v>0</x:v>
      </x:c>
      <x:c r="L20" s="36" t="n">
        <x:f>'主料系数展开'!R67</x:f>
        <x:v>0</x:v>
      </x:c>
      <x:c r="M20" s="36" t="n">
        <x:f>'主料系数展开'!R68</x:f>
        <x:v>0</x:v>
      </x:c>
      <x:c r="N20" s="36" t="n">
        <x:f>'主料系数展开'!R69</x:f>
        <x:v>0</x:v>
      </x:c>
      <x:c r="O20" s="36" t="n">
        <x:f>'主料系数展开'!R70</x:f>
        <x:v>0</x:v>
      </x:c>
      <x:c r="P20" s="36" t="n">
        <x:f>'主料系数展开'!R71</x:f>
        <x:v>0</x:v>
      </x:c>
      <x:c r="Q20" s="36" t="n">
        <x:f>'主料系数展开'!R72</x:f>
        <x:v>0</x:v>
      </x:c>
      <x:c r="R20" s="36" t="n">
        <x:f>'主料系数展开'!R73</x:f>
        <x:v>0</x:v>
      </x:c>
      <x:c r="S20" s="36" t="n">
        <x:f>'主料系数展开'!R74</x:f>
        <x:v>0</x:v>
      </x:c>
      <x:c r="T20" s="36" t="n">
        <x:f>'主料系数展开'!R75</x:f>
        <x:v>0</x:v>
      </x:c>
      <x:c r="U20" s="36" t="n">
        <x:f>'主料系数展开'!R76</x:f>
        <x:v>0</x:v>
      </x:c>
      <x:c r="V20" s="36" t="n">
        <x:f>'主料系数展开'!R77</x:f>
        <x:v>0</x:v>
      </x:c>
      <x:c r="W20" s="36" t="n">
        <x:f>'主料系数展开'!R78</x:f>
        <x:v>0</x:v>
      </x:c>
      <x:c r="X20" s="36" t="n">
        <x:f>'主料系数展开'!R79</x:f>
        <x:v>0</x:v>
      </x:c>
      <x:c r="Y20" s="36" t="n">
        <x:f>'主料系数展开'!R80</x:f>
        <x:v>0</x:v>
      </x:c>
      <x:c r="Z20" s="36" t="n">
        <x:f>'主料系数展开'!R81</x:f>
        <x:v>0</x:v>
      </x:c>
      <x:c r="AA20" s="36" t="n">
        <x:f>'主料系数展开'!R82</x:f>
        <x:v>0</x:v>
      </x:c>
      <x:c r="AB20" s="36" t="n">
        <x:f>'主料系数展开'!R83</x:f>
        <x:v>0</x:v>
      </x:c>
      <x:c r="AC20" s="36" t="n">
        <x:f>'主料系数展开'!R84</x:f>
        <x:v>0</x:v>
      </x:c>
      <x:c r="AD20" s="36" t="n">
        <x:f>'主料系数展开'!R85</x:f>
        <x:v>0</x:v>
      </x:c>
      <x:c r="AE20" s="36" t="n">
        <x:f>'主料系数展开'!R86</x:f>
        <x:v>0</x:v>
      </x:c>
      <x:c r="AF20" s="36" t="n">
        <x:f>'主料系数展开'!R87</x:f>
        <x:v>0</x:v>
      </x:c>
      <x:c r="AG20" s="36" t="n">
        <x:f>'主料系数展开'!R88</x:f>
        <x:v>0</x:v>
      </x:c>
      <x:c r="AH20" s="36" t="n">
        <x:f>'主料系数展开'!R89</x:f>
        <x:v>0</x:v>
      </x:c>
      <x:c r="AI20" s="36" t="n">
        <x:f>'主料系数展开'!R91</x:f>
        <x:v>0</x:v>
      </x:c>
      <x:c r="AJ20" s="36" t="n">
        <x:f>'主料系数展开'!R92</x:f>
        <x:v>0</x:v>
      </x:c>
      <x:c r="AK20" s="36" t="n">
        <x:f>'主料系数展开'!R93</x:f>
        <x:v>0</x:v>
      </x:c>
      <x:c r="AL20" s="36" t="n">
        <x:f>'主料系数展开'!R94</x:f>
        <x:v>1.2725878724890531</x:v>
      </x:c>
      <x:c r="AM20" s="36" t="n">
        <x:f>'主料系数展开'!R95</x:f>
        <x:v>0.6362939362445266</x:v>
      </x:c>
      <x:c r="AN20" s="36" t="n">
        <x:f>'主料系数展开'!R96</x:f>
        <x:v>0</x:v>
      </x:c>
      <x:c r="AO20" s="36" t="n">
        <x:f>'主料系数展开'!R97</x:f>
        <x:v>0</x:v>
      </x:c>
      <x:c r="AP20" s="36" t="n">
        <x:f>'主料系数展开'!R98</x:f>
        <x:v>0</x:v>
      </x:c>
      <x:c r="AQ20" s="36" t="n">
        <x:f>'主料系数展开'!R99</x:f>
        <x:v>4.834068624807188</x:v>
      </x:c>
      <x:c r="AR20" s="36" t="n">
        <x:f>'主料系数展开'!R100</x:f>
        <x:v>0</x:v>
      </x:c>
    </x:row>
    <x:row r="21" ht="40" customHeight="1">
      <x:c r="A21" s="22" t="str">
        <x:v>R16</x:v>
      </x:c>
      <x:c r="B21" s="22" t="str">
        <x:v>富铝矿Al₂O₃当量</x:v>
      </x:c>
      <x:c r="C21" s="22" t="str">
        <x:v>kg有效组分当量</x:v>
      </x:c>
      <x:c r="D21" s="36" t="n">
        <x:f>'主料系数展开'!S59</x:f>
        <x:v>0</x:v>
      </x:c>
      <x:c r="E21" s="36" t="n">
        <x:f>'主料系数展开'!S60</x:f>
        <x:v>0</x:v>
      </x:c>
      <x:c r="F21" s="36" t="n">
        <x:f>'主料系数展开'!S61</x:f>
        <x:v>0</x:v>
      </x:c>
      <x:c r="G21" s="36" t="n">
        <x:f>'主料系数展开'!S62</x:f>
        <x:v>0</x:v>
      </x:c>
      <x:c r="H21" s="36" t="n">
        <x:f>'主料系数展开'!S63</x:f>
        <x:v>0</x:v>
      </x:c>
      <x:c r="I21" s="36" t="n">
        <x:f>'主料系数展开'!S64</x:f>
        <x:v>0</x:v>
      </x:c>
      <x:c r="J21" s="36" t="n">
        <x:f>'主料系数展开'!S65</x:f>
        <x:v>0</x:v>
      </x:c>
      <x:c r="K21" s="36" t="n">
        <x:f>'主料系数展开'!S66</x:f>
        <x:v>0</x:v>
      </x:c>
      <x:c r="L21" s="36" t="n">
        <x:f>'主料系数展开'!S67</x:f>
        <x:v>0</x:v>
      </x:c>
      <x:c r="M21" s="36" t="n">
        <x:f>'主料系数展开'!S68</x:f>
        <x:v>0</x:v>
      </x:c>
      <x:c r="N21" s="36" t="n">
        <x:f>'主料系数展开'!S69</x:f>
        <x:v>0</x:v>
      </x:c>
      <x:c r="O21" s="36" t="n">
        <x:f>'主料系数展开'!S70</x:f>
        <x:v>0</x:v>
      </x:c>
      <x:c r="P21" s="36" t="n">
        <x:f>'主料系数展开'!S71</x:f>
        <x:v>0</x:v>
      </x:c>
      <x:c r="Q21" s="36" t="n">
        <x:f>'主料系数展开'!S72</x:f>
        <x:v>0</x:v>
      </x:c>
      <x:c r="R21" s="36" t="n">
        <x:f>'主料系数展开'!S73</x:f>
        <x:v>0</x:v>
      </x:c>
      <x:c r="S21" s="36" t="n">
        <x:f>'主料系数展开'!S74</x:f>
        <x:v>0</x:v>
      </x:c>
      <x:c r="T21" s="36" t="n">
        <x:f>'主料系数展开'!S75</x:f>
        <x:v>0</x:v>
      </x:c>
      <x:c r="U21" s="36" t="n">
        <x:f>'主料系数展开'!S76</x:f>
        <x:v>0</x:v>
      </x:c>
      <x:c r="V21" s="36" t="n">
        <x:f>'主料系数展开'!S77</x:f>
        <x:v>0</x:v>
      </x:c>
      <x:c r="W21" s="36" t="n">
        <x:f>'主料系数展开'!S78</x:f>
        <x:v>0</x:v>
      </x:c>
      <x:c r="X21" s="36" t="n">
        <x:f>'主料系数展开'!S79</x:f>
        <x:v>0</x:v>
      </x:c>
      <x:c r="Y21" s="36" t="n">
        <x:f>'主料系数展开'!S80</x:f>
        <x:v>0</x:v>
      </x:c>
      <x:c r="Z21" s="36" t="n">
        <x:f>'主料系数展开'!S81</x:f>
        <x:v>0</x:v>
      </x:c>
      <x:c r="AA21" s="36" t="n">
        <x:f>'主料系数展开'!S82</x:f>
        <x:v>0</x:v>
      </x:c>
      <x:c r="AB21" s="36" t="n">
        <x:f>'主料系数展开'!S83</x:f>
        <x:v>0</x:v>
      </x:c>
      <x:c r="AC21" s="36" t="n">
        <x:f>'主料系数展开'!S84</x:f>
        <x:v>0</x:v>
      </x:c>
      <x:c r="AD21" s="36" t="n">
        <x:f>'主料系数展开'!S85</x:f>
        <x:v>0</x:v>
      </x:c>
      <x:c r="AE21" s="36" t="n">
        <x:f>'主料系数展开'!S86</x:f>
        <x:v>0</x:v>
      </x:c>
      <x:c r="AF21" s="36" t="n">
        <x:f>'主料系数展开'!S87</x:f>
        <x:v>0</x:v>
      </x:c>
      <x:c r="AG21" s="36" t="n">
        <x:f>'主料系数展开'!S88</x:f>
        <x:v>0</x:v>
      </x:c>
      <x:c r="AH21" s="36" t="n">
        <x:f>'主料系数展开'!S89</x:f>
        <x:v>0</x:v>
      </x:c>
      <x:c r="AI21" s="36" t="n">
        <x:f>'主料系数展开'!S91</x:f>
        <x:v>1.9272148098732487</x:v>
      </x:c>
      <x:c r="AJ21" s="36" t="n">
        <x:f>'主料系数展开'!S92</x:f>
        <x:v>0</x:v>
      </x:c>
      <x:c r="AK21" s="36" t="n">
        <x:f>'主料系数展开'!S93</x:f>
        <x:v>0</x:v>
      </x:c>
      <x:c r="AL21" s="36" t="n">
        <x:f>'主料系数展开'!S94</x:f>
        <x:v>0</x:v>
      </x:c>
      <x:c r="AM21" s="36" t="n">
        <x:f>'主料系数展开'!S95</x:f>
        <x:v>0</x:v>
      </x:c>
      <x:c r="AN21" s="36" t="n">
        <x:f>'主料系数展开'!S96</x:f>
        <x:v>0</x:v>
      </x:c>
      <x:c r="AO21" s="36" t="n">
        <x:f>'主料系数展开'!S97</x:f>
        <x:v>0</x:v>
      </x:c>
      <x:c r="AP21" s="36" t="n">
        <x:f>'主料系数展开'!S98</x:f>
        <x:v>0</x:v>
      </x:c>
      <x:c r="AQ21" s="36" t="n">
        <x:f>'主料系数展开'!S99</x:f>
        <x:v>0</x:v>
      </x:c>
      <x:c r="AR21" s="36" t="n">
        <x:f>'主料系数展开'!S100</x:f>
        <x:v>0</x:v>
      </x:c>
    </x:row>
    <x:row r="22" ht="40" customHeight="1">
      <x:c r="A22" s="22" t="str">
        <x:v>R17</x:v>
      </x:c>
      <x:c r="B22" s="22" t="str">
        <x:v>可选银矿Ag₂S当量</x:v>
      </x:c>
      <x:c r="C22" s="22" t="str">
        <x:v>kg有效组分当量</x:v>
      </x:c>
      <x:c r="D22" s="36" t="n">
        <x:f>'主料系数展开'!T59</x:f>
        <x:v>0</x:v>
      </x:c>
      <x:c r="E22" s="36" t="n">
        <x:f>'主料系数展开'!T60</x:f>
        <x:v>0</x:v>
      </x:c>
      <x:c r="F22" s="36" t="n">
        <x:f>'主料系数展开'!T61</x:f>
        <x:v>0</x:v>
      </x:c>
      <x:c r="G22" s="36" t="n">
        <x:f>'主料系数展开'!T62</x:f>
        <x:v>0</x:v>
      </x:c>
      <x:c r="H22" s="36" t="n">
        <x:f>'主料系数展开'!T63</x:f>
        <x:v>0</x:v>
      </x:c>
      <x:c r="I22" s="36" t="n">
        <x:f>'主料系数展开'!T64</x:f>
        <x:v>0</x:v>
      </x:c>
      <x:c r="J22" s="36" t="n">
        <x:f>'主料系数展开'!T65</x:f>
        <x:v>0</x:v>
      </x:c>
      <x:c r="K22" s="36" t="n">
        <x:f>'主料系数展开'!T66</x:f>
        <x:v>0</x:v>
      </x:c>
      <x:c r="L22" s="36" t="n">
        <x:f>'主料系数展开'!T67</x:f>
        <x:v>0</x:v>
      </x:c>
      <x:c r="M22" s="36" t="n">
        <x:f>'主料系数展开'!T68</x:f>
        <x:v>0</x:v>
      </x:c>
      <x:c r="N22" s="36" t="n">
        <x:f>'主料系数展开'!T69</x:f>
        <x:v>0</x:v>
      </x:c>
      <x:c r="O22" s="36" t="n">
        <x:f>'主料系数展开'!T70</x:f>
        <x:v>0</x:v>
      </x:c>
      <x:c r="P22" s="36" t="n">
        <x:f>'主料系数展开'!T71</x:f>
        <x:v>0</x:v>
      </x:c>
      <x:c r="Q22" s="36" t="n">
        <x:f>'主料系数展开'!T72</x:f>
        <x:v>0</x:v>
      </x:c>
      <x:c r="R22" s="36" t="n">
        <x:f>'主料系数展开'!T73</x:f>
        <x:v>0</x:v>
      </x:c>
      <x:c r="S22" s="36" t="n">
        <x:f>'主料系数展开'!T74</x:f>
        <x:v>0</x:v>
      </x:c>
      <x:c r="T22" s="36" t="n">
        <x:f>'主料系数展开'!T75</x:f>
        <x:v>0</x:v>
      </x:c>
      <x:c r="U22" s="36" t="n">
        <x:f>'主料系数展开'!T76</x:f>
        <x:v>0</x:v>
      </x:c>
      <x:c r="V22" s="36" t="n">
        <x:f>'主料系数展开'!T77</x:f>
        <x:v>0</x:v>
      </x:c>
      <x:c r="W22" s="36" t="n">
        <x:f>'主料系数展开'!T78</x:f>
        <x:v>0</x:v>
      </x:c>
      <x:c r="X22" s="36" t="n">
        <x:f>'主料系数展开'!T79</x:f>
        <x:v>0</x:v>
      </x:c>
      <x:c r="Y22" s="36" t="n">
        <x:f>'主料系数展开'!T80</x:f>
        <x:v>0</x:v>
      </x:c>
      <x:c r="Z22" s="36" t="n">
        <x:f>'主料系数展开'!T81</x:f>
        <x:v>0</x:v>
      </x:c>
      <x:c r="AA22" s="36" t="n">
        <x:f>'主料系数展开'!T82</x:f>
        <x:v>0</x:v>
      </x:c>
      <x:c r="AB22" s="36" t="n">
        <x:f>'主料系数展开'!T83</x:f>
        <x:v>0</x:v>
      </x:c>
      <x:c r="AC22" s="36" t="n">
        <x:f>'主料系数展开'!T84</x:f>
        <x:v>0</x:v>
      </x:c>
      <x:c r="AD22" s="36" t="n">
        <x:f>'主料系数展开'!T85</x:f>
        <x:v>0</x:v>
      </x:c>
      <x:c r="AE22" s="36" t="n">
        <x:f>'主料系数展开'!T86</x:f>
        <x:v>0</x:v>
      </x:c>
      <x:c r="AF22" s="36" t="n">
        <x:f>'主料系数展开'!T87</x:f>
        <x:v>0</x:v>
      </x:c>
      <x:c r="AG22" s="36" t="n">
        <x:f>'主料系数展开'!T88</x:f>
        <x:v>0</x:v>
      </x:c>
      <x:c r="AH22" s="36" t="n">
        <x:f>'主料系数展开'!T89</x:f>
        <x:v>0</x:v>
      </x:c>
      <x:c r="AI22" s="36" t="n">
        <x:f>'主料系数展开'!T91</x:f>
        <x:v>0.009188858254796132</x:v>
      </x:c>
      <x:c r="AJ22" s="36" t="n">
        <x:f>'主料系数展开'!T92</x:f>
        <x:v>0</x:v>
      </x:c>
      <x:c r="AK22" s="36" t="n">
        <x:f>'主料系数展开'!T93</x:f>
        <x:v>0</x:v>
      </x:c>
      <x:c r="AL22" s="36" t="n">
        <x:f>'主料系数展开'!T94</x:f>
        <x:v>0</x:v>
      </x:c>
      <x:c r="AM22" s="36" t="n">
        <x:f>'主料系数展开'!T95</x:f>
        <x:v>0</x:v>
      </x:c>
      <x:c r="AN22" s="36" t="n">
        <x:f>'主料系数展开'!T96</x:f>
        <x:v>0</x:v>
      </x:c>
      <x:c r="AO22" s="36" t="n">
        <x:f>'主料系数展开'!T97</x:f>
        <x:v>0</x:v>
      </x:c>
      <x:c r="AP22" s="36" t="n">
        <x:f>'主料系数展开'!T98</x:f>
        <x:v>0</x:v>
      </x:c>
      <x:c r="AQ22" s="36" t="n">
        <x:f>'主料系数展开'!T99</x:f>
        <x:v>0</x:v>
      </x:c>
      <x:c r="AR22" s="36" t="n">
        <x:f>'主料系数展开'!T100</x:f>
        <x:v>0</x:v>
      </x:c>
    </x:row>
    <x:row r="23" ht="40" customHeight="1">
      <x:c r="A23" s="22" t="str">
        <x:v>R18</x:v>
      </x:c>
      <x:c r="B23" s="22" t="str">
        <x:v>硼矿B₂O₃当量</x:v>
      </x:c>
      <x:c r="C23" s="22" t="str">
        <x:v>kg有效组分当量</x:v>
      </x:c>
      <x:c r="D23" s="36" t="n">
        <x:f>'主料系数展开'!U59</x:f>
        <x:v>0</x:v>
      </x:c>
      <x:c r="E23" s="36" t="n">
        <x:f>'主料系数展开'!U60</x:f>
        <x:v>0</x:v>
      </x:c>
      <x:c r="F23" s="36" t="n">
        <x:f>'主料系数展开'!U61</x:f>
        <x:v>0</x:v>
      </x:c>
      <x:c r="G23" s="36" t="n">
        <x:f>'主料系数展开'!U62</x:f>
        <x:v>0</x:v>
      </x:c>
      <x:c r="H23" s="36" t="n">
        <x:f>'主料系数展开'!U63</x:f>
        <x:v>0</x:v>
      </x:c>
      <x:c r="I23" s="36" t="n">
        <x:f>'主料系数展开'!U64</x:f>
        <x:v>0</x:v>
      </x:c>
      <x:c r="J23" s="36" t="n">
        <x:f>'主料系数展开'!U65</x:f>
        <x:v>0</x:v>
      </x:c>
      <x:c r="K23" s="36" t="n">
        <x:f>'主料系数展开'!U66</x:f>
        <x:v>0</x:v>
      </x:c>
      <x:c r="L23" s="36" t="n">
        <x:f>'主料系数展开'!U67</x:f>
        <x:v>0</x:v>
      </x:c>
      <x:c r="M23" s="36" t="n">
        <x:f>'主料系数展开'!U68</x:f>
        <x:v>0</x:v>
      </x:c>
      <x:c r="N23" s="36" t="n">
        <x:f>'主料系数展开'!U69</x:f>
        <x:v>0</x:v>
      </x:c>
      <x:c r="O23" s="36" t="n">
        <x:f>'主料系数展开'!U70</x:f>
        <x:v>0</x:v>
      </x:c>
      <x:c r="P23" s="36" t="n">
        <x:f>'主料系数展开'!U71</x:f>
        <x:v>0</x:v>
      </x:c>
      <x:c r="Q23" s="36" t="n">
        <x:f>'主料系数展开'!U72</x:f>
        <x:v>0</x:v>
      </x:c>
      <x:c r="R23" s="36" t="n">
        <x:f>'主料系数展开'!U73</x:f>
        <x:v>0</x:v>
      </x:c>
      <x:c r="S23" s="36" t="n">
        <x:f>'主料系数展开'!U74</x:f>
        <x:v>0</x:v>
      </x:c>
      <x:c r="T23" s="36" t="n">
        <x:f>'主料系数展开'!U75</x:f>
        <x:v>0</x:v>
      </x:c>
      <x:c r="U23" s="36" t="n">
        <x:f>'主料系数展开'!U76</x:f>
        <x:v>0</x:v>
      </x:c>
      <x:c r="V23" s="36" t="n">
        <x:f>'主料系数展开'!U77</x:f>
        <x:v>0</x:v>
      </x:c>
      <x:c r="W23" s="36" t="n">
        <x:f>'主料系数展开'!U78</x:f>
        <x:v>0</x:v>
      </x:c>
      <x:c r="X23" s="36" t="n">
        <x:f>'主料系数展开'!U79</x:f>
        <x:v>0</x:v>
      </x:c>
      <x:c r="Y23" s="36" t="n">
        <x:f>'主料系数展开'!U80</x:f>
        <x:v>0</x:v>
      </x:c>
      <x:c r="Z23" s="36" t="n">
        <x:f>'主料系数展开'!U81</x:f>
        <x:v>0</x:v>
      </x:c>
      <x:c r="AA23" s="36" t="n">
        <x:f>'主料系数展开'!U82</x:f>
        <x:v>0</x:v>
      </x:c>
      <x:c r="AB23" s="36" t="n">
        <x:f>'主料系数展开'!U83</x:f>
        <x:v>0</x:v>
      </x:c>
      <x:c r="AC23" s="36" t="n">
        <x:f>'主料系数展开'!U84</x:f>
        <x:v>0</x:v>
      </x:c>
      <x:c r="AD23" s="36" t="n">
        <x:f>'主料系数展开'!U85</x:f>
        <x:v>0</x:v>
      </x:c>
      <x:c r="AE23" s="36" t="n">
        <x:f>'主料系数展开'!U86</x:f>
        <x:v>0</x:v>
      </x:c>
      <x:c r="AF23" s="36" t="n">
        <x:f>'主料系数展开'!U87</x:f>
        <x:v>0</x:v>
      </x:c>
      <x:c r="AG23" s="36" t="n">
        <x:f>'主料系数展开'!U88</x:f>
        <x:v>0</x:v>
      </x:c>
      <x:c r="AH23" s="36" t="n">
        <x:f>'主料系数展开'!U89</x:f>
        <x:v>0</x:v>
      </x:c>
      <x:c r="AI23" s="36" t="n">
        <x:f>'主料系数展开'!U91</x:f>
        <x:v>0.00001</x:v>
      </x:c>
      <x:c r="AJ23" s="36" t="n">
        <x:f>'主料系数展开'!U92</x:f>
        <x:v>0</x:v>
      </x:c>
      <x:c r="AK23" s="36" t="n">
        <x:f>'主料系数展开'!U93</x:f>
        <x:v>0</x:v>
      </x:c>
      <x:c r="AL23" s="36" t="n">
        <x:f>'主料系数展开'!U94</x:f>
        <x:v>0</x:v>
      </x:c>
      <x:c r="AM23" s="36" t="n">
        <x:f>'主料系数展开'!U95</x:f>
        <x:v>0</x:v>
      </x:c>
      <x:c r="AN23" s="36" t="n">
        <x:f>'主料系数展开'!U96</x:f>
        <x:v>0</x:v>
      </x:c>
      <x:c r="AO23" s="36" t="n">
        <x:f>'主料系数展开'!U97</x:f>
        <x:v>0</x:v>
      </x:c>
      <x:c r="AP23" s="36" t="n">
        <x:f>'主料系数展开'!U98</x:f>
        <x:v>0</x:v>
      </x:c>
      <x:c r="AQ23" s="36" t="n">
        <x:f>'主料系数展开'!U99</x:f>
        <x:v>0</x:v>
      </x:c>
      <x:c r="AR23" s="36" t="n">
        <x:f>'主料系数展开'!U100</x:f>
        <x:v>0</x:v>
      </x:c>
    </x:row>
    <x:row r="24" ht="40" customHeight="1">
      <x:c r="A24" s="22" t="str">
        <x:v>R19</x:v>
      </x:c>
      <x:c r="B24" s="22" t="str">
        <x:v>可选萤石CaF₂</x:v>
      </x:c>
      <x:c r="C24" s="22" t="str">
        <x:v>kg有效组分当量</x:v>
      </x:c>
      <x:c r="D24" s="36" t="n">
        <x:f>'主料系数展开'!V59</x:f>
        <x:v>0</x:v>
      </x:c>
      <x:c r="E24" s="36" t="n">
        <x:f>'主料系数展开'!V60</x:f>
        <x:v>0</x:v>
      </x:c>
      <x:c r="F24" s="36" t="n">
        <x:f>'主料系数展开'!V61</x:f>
        <x:v>0</x:v>
      </x:c>
      <x:c r="G24" s="36" t="n">
        <x:f>'主料系数展开'!V62</x:f>
        <x:v>0</x:v>
      </x:c>
      <x:c r="H24" s="36" t="n">
        <x:f>'主料系数展开'!V63</x:f>
        <x:v>0</x:v>
      </x:c>
      <x:c r="I24" s="36" t="n">
        <x:f>'主料系数展开'!V64</x:f>
        <x:v>0</x:v>
      </x:c>
      <x:c r="J24" s="36" t="n">
        <x:f>'主料系数展开'!V65</x:f>
        <x:v>0</x:v>
      </x:c>
      <x:c r="K24" s="36" t="n">
        <x:f>'主料系数展开'!V66</x:f>
        <x:v>0</x:v>
      </x:c>
      <x:c r="L24" s="36" t="n">
        <x:f>'主料系数展开'!V67</x:f>
        <x:v>0</x:v>
      </x:c>
      <x:c r="M24" s="36" t="n">
        <x:f>'主料系数展开'!V68</x:f>
        <x:v>0</x:v>
      </x:c>
      <x:c r="N24" s="36" t="n">
        <x:f>'主料系数展开'!V69</x:f>
        <x:v>0</x:v>
      </x:c>
      <x:c r="O24" s="36" t="n">
        <x:f>'主料系数展开'!V70</x:f>
        <x:v>0</x:v>
      </x:c>
      <x:c r="P24" s="36" t="n">
        <x:f>'主料系数展开'!V71</x:f>
        <x:v>0</x:v>
      </x:c>
      <x:c r="Q24" s="36" t="n">
        <x:f>'主料系数展开'!V72</x:f>
        <x:v>0</x:v>
      </x:c>
      <x:c r="R24" s="36" t="n">
        <x:f>'主料系数展开'!V73</x:f>
        <x:v>0</x:v>
      </x:c>
      <x:c r="S24" s="36" t="n">
        <x:f>'主料系数展开'!V74</x:f>
        <x:v>0</x:v>
      </x:c>
      <x:c r="T24" s="36" t="n">
        <x:f>'主料系数展开'!V75</x:f>
        <x:v>0</x:v>
      </x:c>
      <x:c r="U24" s="36" t="n">
        <x:f>'主料系数展开'!V76</x:f>
        <x:v>0</x:v>
      </x:c>
      <x:c r="V24" s="36" t="n">
        <x:f>'主料系数展开'!V77</x:f>
        <x:v>0</x:v>
      </x:c>
      <x:c r="W24" s="36" t="n">
        <x:f>'主料系数展开'!V78</x:f>
        <x:v>0</x:v>
      </x:c>
      <x:c r="X24" s="36" t="n">
        <x:f>'主料系数展开'!V79</x:f>
        <x:v>0</x:v>
      </x:c>
      <x:c r="Y24" s="36" t="n">
        <x:f>'主料系数展开'!V80</x:f>
        <x:v>0</x:v>
      </x:c>
      <x:c r="Z24" s="36" t="n">
        <x:f>'主料系数展开'!V81</x:f>
        <x:v>0</x:v>
      </x:c>
      <x:c r="AA24" s="36" t="n">
        <x:f>'主料系数展开'!V82</x:f>
        <x:v>0</x:v>
      </x:c>
      <x:c r="AB24" s="36" t="n">
        <x:f>'主料系数展开'!V83</x:f>
        <x:v>0</x:v>
      </x:c>
      <x:c r="AC24" s="36" t="n">
        <x:f>'主料系数展开'!V84</x:f>
        <x:v>0</x:v>
      </x:c>
      <x:c r="AD24" s="36" t="n">
        <x:f>'主料系数展开'!V85</x:f>
        <x:v>0</x:v>
      </x:c>
      <x:c r="AE24" s="36" t="n">
        <x:f>'主料系数展开'!V86</x:f>
        <x:v>0</x:v>
      </x:c>
      <x:c r="AF24" s="36" t="n">
        <x:f>'主料系数展开'!V87</x:f>
        <x:v>0</x:v>
      </x:c>
      <x:c r="AG24" s="36" t="n">
        <x:f>'主料系数展开'!V88</x:f>
        <x:v>0</x:v>
      </x:c>
      <x:c r="AH24" s="36" t="n">
        <x:f>'主料系数展开'!V89</x:f>
        <x:v>0</x:v>
      </x:c>
      <x:c r="AI24" s="36" t="n">
        <x:f>'主料系数展开'!V91</x:f>
        <x:v>0</x:v>
      </x:c>
      <x:c r="AJ24" s="36" t="n">
        <x:f>'主料系数展开'!V92</x:f>
        <x:v>0</x:v>
      </x:c>
      <x:c r="AK24" s="36" t="n">
        <x:f>'主料系数展开'!V93</x:f>
        <x:v>0</x:v>
      </x:c>
      <x:c r="AL24" s="36" t="n">
        <x:f>'主料系数展开'!V94</x:f>
        <x:v>0</x:v>
      </x:c>
      <x:c r="AM24" s="36" t="n">
        <x:f>'主料系数展开'!V95</x:f>
        <x:v>0</x:v>
      </x:c>
      <x:c r="AN24" s="36" t="n">
        <x:f>'主料系数展开'!V96</x:f>
        <x:v>0</x:v>
      </x:c>
      <x:c r="AO24" s="36" t="n">
        <x:f>'主料系数展开'!V97</x:f>
        <x:v>0</x:v>
      </x:c>
      <x:c r="AP24" s="36" t="n">
        <x:f>'主料系数展开'!V98</x:f>
        <x:v>0</x:v>
      </x:c>
      <x:c r="AQ24" s="36" t="n">
        <x:f>'主料系数展开'!V99</x:f>
        <x:v>0</x:v>
      </x:c>
      <x:c r="AR24" s="36" t="n">
        <x:f>'主料系数展开'!V100</x:f>
        <x:v>0</x:v>
      </x:c>
    </x:row>
    <x:row r="25" ht="40" customHeight="1">
      <x:c r="A25" s="22" t="str">
        <x:v>R20</x:v>
      </x:c>
      <x:c r="B25" s="22" t="str">
        <x:v>可选锡矿SnO₂</x:v>
      </x:c>
      <x:c r="C25" s="22" t="str">
        <x:v>kg有效组分当量</x:v>
      </x:c>
      <x:c r="D25" s="36" t="n">
        <x:f>'主料系数展开'!W59</x:f>
        <x:v>0</x:v>
      </x:c>
      <x:c r="E25" s="36" t="n">
        <x:f>'主料系数展开'!W60</x:f>
        <x:v>0</x:v>
      </x:c>
      <x:c r="F25" s="36" t="n">
        <x:f>'主料系数展开'!W61</x:f>
        <x:v>0</x:v>
      </x:c>
      <x:c r="G25" s="36" t="n">
        <x:f>'主料系数展开'!W62</x:f>
        <x:v>0</x:v>
      </x:c>
      <x:c r="H25" s="36" t="n">
        <x:f>'主料系数展开'!W63</x:f>
        <x:v>0</x:v>
      </x:c>
      <x:c r="I25" s="36" t="n">
        <x:f>'主料系数展开'!W64</x:f>
        <x:v>0</x:v>
      </x:c>
      <x:c r="J25" s="36" t="n">
        <x:f>'主料系数展开'!W65</x:f>
        <x:v>0</x:v>
      </x:c>
      <x:c r="K25" s="36" t="n">
        <x:f>'主料系数展开'!W66</x:f>
        <x:v>0</x:v>
      </x:c>
      <x:c r="L25" s="36" t="n">
        <x:f>'主料系数展开'!W67</x:f>
        <x:v>0</x:v>
      </x:c>
      <x:c r="M25" s="36" t="n">
        <x:f>'主料系数展开'!W68</x:f>
        <x:v>0</x:v>
      </x:c>
      <x:c r="N25" s="36" t="n">
        <x:f>'主料系数展开'!W69</x:f>
        <x:v>0</x:v>
      </x:c>
      <x:c r="O25" s="36" t="n">
        <x:f>'主料系数展开'!W70</x:f>
        <x:v>0</x:v>
      </x:c>
      <x:c r="P25" s="36" t="n">
        <x:f>'主料系数展开'!W71</x:f>
        <x:v>0</x:v>
      </x:c>
      <x:c r="Q25" s="36" t="n">
        <x:f>'主料系数展开'!W72</x:f>
        <x:v>0</x:v>
      </x:c>
      <x:c r="R25" s="36" t="n">
        <x:f>'主料系数展开'!W73</x:f>
        <x:v>0</x:v>
      </x:c>
      <x:c r="S25" s="36" t="n">
        <x:f>'主料系数展开'!W74</x:f>
        <x:v>0</x:v>
      </x:c>
      <x:c r="T25" s="36" t="n">
        <x:f>'主料系数展开'!W75</x:f>
        <x:v>0</x:v>
      </x:c>
      <x:c r="U25" s="36" t="n">
        <x:f>'主料系数展开'!W76</x:f>
        <x:v>0</x:v>
      </x:c>
      <x:c r="V25" s="36" t="n">
        <x:f>'主料系数展开'!W77</x:f>
        <x:v>0</x:v>
      </x:c>
      <x:c r="W25" s="36" t="n">
        <x:f>'主料系数展开'!W78</x:f>
        <x:v>0</x:v>
      </x:c>
      <x:c r="X25" s="36" t="n">
        <x:f>'主料系数展开'!W79</x:f>
        <x:v>0</x:v>
      </x:c>
      <x:c r="Y25" s="36" t="n">
        <x:f>'主料系数展开'!W80</x:f>
        <x:v>0</x:v>
      </x:c>
      <x:c r="Z25" s="36" t="n">
        <x:f>'主料系数展开'!W81</x:f>
        <x:v>0</x:v>
      </x:c>
      <x:c r="AA25" s="36" t="n">
        <x:f>'主料系数展开'!W82</x:f>
        <x:v>0</x:v>
      </x:c>
      <x:c r="AB25" s="36" t="n">
        <x:f>'主料系数展开'!W83</x:f>
        <x:v>0</x:v>
      </x:c>
      <x:c r="AC25" s="36" t="n">
        <x:f>'主料系数展开'!W84</x:f>
        <x:v>0</x:v>
      </x:c>
      <x:c r="AD25" s="36" t="n">
        <x:f>'主料系数展开'!W85</x:f>
        <x:v>0</x:v>
      </x:c>
      <x:c r="AE25" s="36" t="n">
        <x:f>'主料系数展开'!W86</x:f>
        <x:v>0</x:v>
      </x:c>
      <x:c r="AF25" s="36" t="n">
        <x:f>'主料系数展开'!W87</x:f>
        <x:v>0</x:v>
      </x:c>
      <x:c r="AG25" s="36" t="n">
        <x:f>'主料系数展开'!W88</x:f>
        <x:v>0</x:v>
      </x:c>
      <x:c r="AH25" s="36" t="n">
        <x:f>'主料系数展开'!W89</x:f>
        <x:v>0</x:v>
      </x:c>
      <x:c r="AI25" s="36" t="n">
        <x:f>'主料系数展开'!W91</x:f>
        <x:v>0.012695476370988125</x:v>
      </x:c>
      <x:c r="AJ25" s="36" t="n">
        <x:f>'主料系数展开'!W92</x:f>
        <x:v>0</x:v>
      </x:c>
      <x:c r="AK25" s="36" t="n">
        <x:f>'主料系数展开'!W93</x:f>
        <x:v>0</x:v>
      </x:c>
      <x:c r="AL25" s="36" t="n">
        <x:f>'主料系数展开'!W94</x:f>
        <x:v>0</x:v>
      </x:c>
      <x:c r="AM25" s="36" t="n">
        <x:f>'主料系数展开'!W95</x:f>
        <x:v>0</x:v>
      </x:c>
      <x:c r="AN25" s="36" t="n">
        <x:f>'主料系数展开'!W96</x:f>
        <x:v>0</x:v>
      </x:c>
      <x:c r="AO25" s="36" t="n">
        <x:f>'主料系数展开'!W97</x:f>
        <x:v>0</x:v>
      </x:c>
      <x:c r="AP25" s="36" t="n">
        <x:f>'主料系数展开'!W98</x:f>
        <x:v>0</x:v>
      </x:c>
      <x:c r="AQ25" s="36" t="n">
        <x:f>'主料系数展开'!W99</x:f>
        <x:v>0</x:v>
      </x:c>
      <x:c r="AR25" s="36" t="n">
        <x:f>'主料系数展开'!W100</x:f>
        <x:v>0</x:v>
      </x:c>
    </x:row>
    <x:row r="26" ht="40" customHeight="1">
      <x:c r="A26" s="22" t="str">
        <x:v>R21</x:v>
      </x:c>
      <x:c r="B26" s="22" t="str">
        <x:v>石膏CaSO₄·2H₂O</x:v>
      </x:c>
      <x:c r="C26" s="22" t="str">
        <x:v>kg有效组分当量</x:v>
      </x:c>
      <x:c r="D26" s="36" t="n">
        <x:f>'主料系数展开'!X59</x:f>
        <x:v>0</x:v>
      </x:c>
      <x:c r="E26" s="36" t="n">
        <x:f>'主料系数展开'!X60</x:f>
        <x:v>0</x:v>
      </x:c>
      <x:c r="F26" s="36" t="n">
        <x:f>'主料系数展开'!X61</x:f>
        <x:v>0</x:v>
      </x:c>
      <x:c r="G26" s="36" t="n">
        <x:f>'主料系数展开'!X62</x:f>
        <x:v>0</x:v>
      </x:c>
      <x:c r="H26" s="36" t="n">
        <x:f>'主料系数展开'!X63</x:f>
        <x:v>0</x:v>
      </x:c>
      <x:c r="I26" s="36" t="n">
        <x:f>'主料系数展开'!X64</x:f>
        <x:v>0</x:v>
      </x:c>
      <x:c r="J26" s="36" t="n">
        <x:f>'主料系数展开'!X65</x:f>
        <x:v>0</x:v>
      </x:c>
      <x:c r="K26" s="36" t="n">
        <x:f>'主料系数展开'!X66</x:f>
        <x:v>0</x:v>
      </x:c>
      <x:c r="L26" s="36" t="n">
        <x:f>'主料系数展开'!X67</x:f>
        <x:v>0</x:v>
      </x:c>
      <x:c r="M26" s="36" t="n">
        <x:f>'主料系数展开'!X68</x:f>
        <x:v>0</x:v>
      </x:c>
      <x:c r="N26" s="36" t="n">
        <x:f>'主料系数展开'!X69</x:f>
        <x:v>0</x:v>
      </x:c>
      <x:c r="O26" s="36" t="n">
        <x:f>'主料系数展开'!X70</x:f>
        <x:v>0</x:v>
      </x:c>
      <x:c r="P26" s="36" t="n">
        <x:f>'主料系数展开'!X71</x:f>
        <x:v>0</x:v>
      </x:c>
      <x:c r="Q26" s="36" t="n">
        <x:f>'主料系数展开'!X72</x:f>
        <x:v>0</x:v>
      </x:c>
      <x:c r="R26" s="36" t="n">
        <x:f>'主料系数展开'!X73</x:f>
        <x:v>0</x:v>
      </x:c>
      <x:c r="S26" s="36" t="n">
        <x:f>'主料系数展开'!X74</x:f>
        <x:v>0</x:v>
      </x:c>
      <x:c r="T26" s="36" t="n">
        <x:f>'主料系数展开'!X75</x:f>
        <x:v>0</x:v>
      </x:c>
      <x:c r="U26" s="36" t="n">
        <x:f>'主料系数展开'!X76</x:f>
        <x:v>0</x:v>
      </x:c>
      <x:c r="V26" s="36" t="n">
        <x:f>'主料系数展开'!X77</x:f>
        <x:v>0</x:v>
      </x:c>
      <x:c r="W26" s="36" t="n">
        <x:f>'主料系数展开'!X78</x:f>
        <x:v>0</x:v>
      </x:c>
      <x:c r="X26" s="36" t="n">
        <x:f>'主料系数展开'!X79</x:f>
        <x:v>0</x:v>
      </x:c>
      <x:c r="Y26" s="36" t="n">
        <x:f>'主料系数展开'!X80</x:f>
        <x:v>0</x:v>
      </x:c>
      <x:c r="Z26" s="36" t="n">
        <x:f>'主料系数展开'!X81</x:f>
        <x:v>0</x:v>
      </x:c>
      <x:c r="AA26" s="36" t="n">
        <x:f>'主料系数展开'!X82</x:f>
        <x:v>0</x:v>
      </x:c>
      <x:c r="AB26" s="36" t="n">
        <x:f>'主料系数展开'!X83</x:f>
        <x:v>0</x:v>
      </x:c>
      <x:c r="AC26" s="36" t="n">
        <x:f>'主料系数展开'!X84</x:f>
        <x:v>1</x:v>
      </x:c>
      <x:c r="AD26" s="36" t="n">
        <x:f>'主料系数展开'!X85</x:f>
        <x:v>0</x:v>
      </x:c>
      <x:c r="AE26" s="36" t="n">
        <x:f>'主料系数展开'!X86</x:f>
        <x:v>0</x:v>
      </x:c>
      <x:c r="AF26" s="36" t="n">
        <x:f>'主料系数展开'!X87</x:f>
        <x:v>0</x:v>
      </x:c>
      <x:c r="AG26" s="36" t="n">
        <x:f>'主料系数展开'!X88</x:f>
        <x:v>0</x:v>
      </x:c>
      <x:c r="AH26" s="36" t="n">
        <x:f>'主料系数展开'!X89</x:f>
        <x:v>0</x:v>
      </x:c>
      <x:c r="AI26" s="36" t="n">
        <x:f>'主料系数展开'!X91</x:f>
        <x:v>0</x:v>
      </x:c>
      <x:c r="AJ26" s="36" t="n">
        <x:f>'主料系数展开'!X92</x:f>
        <x:v>0</x:v>
      </x:c>
      <x:c r="AK26" s="36" t="n">
        <x:f>'主料系数展开'!X93</x:f>
        <x:v>0</x:v>
      </x:c>
      <x:c r="AL26" s="36" t="n">
        <x:f>'主料系数展开'!X94</x:f>
        <x:v>0</x:v>
      </x:c>
      <x:c r="AM26" s="36" t="n">
        <x:f>'主料系数展开'!X95</x:f>
        <x:v>0</x:v>
      </x:c>
      <x:c r="AN26" s="36" t="n">
        <x:f>'主料系数展开'!X96</x:f>
        <x:v>0</x:v>
      </x:c>
      <x:c r="AO26" s="36" t="n">
        <x:f>'主料系数展开'!X97</x:f>
        <x:v>0</x:v>
      </x:c>
      <x:c r="AP26" s="36" t="n">
        <x:f>'主料系数展开'!X98</x:f>
        <x:v>0</x:v>
      </x:c>
      <x:c r="AQ26" s="36" t="n">
        <x:f>'主料系数展开'!X99</x:f>
        <x:v>0</x:v>
      </x:c>
      <x:c r="AR26" s="36" t="n">
        <x:f>'主料系数展开'!X100</x:f>
        <x:v>0</x:v>
      </x:c>
    </x:row>
  </x:sheetData>
  <x:mergeCells>
    <x:mergeCell ref="A1:AR1"/>
    <x:mergeCell ref="A2:AR3"/>
  </x:mergeCells>
  <x:conditionalFormatting sqref="D6:AR26">
    <x:cfRule type="colorScale" priority="1">
      <x:colorScale>
        <x:cfvo type="min"/>
        <x:cfvo type="percentile" val="50"/>
        <x:cfvo type="max"/>
        <x:color rgb="FFF7FAFC"/>
        <x:color rgb="FFDCECEF"/>
        <x:color rgb="FF91C5CD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5" hidden="0" customWidth="1"/>
    <x:col min="3" max="3" width="2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</x:cols>
  <x:sheetData>
    <x:row r="1" ht="34" customHeight="1">
      <x:c r="A1" s="4" t="str">
        <x:v>矿料_情景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</x:row>
    <x:row r="2" ht="20" customHeight="1">
      <x:c r="A2" s="9" t="str">
        <x:v>毛有效原料量 ÷ 假设品位g ÷ 假设回收率η。气体行是需采收的组分质量，不是整股空气；独立原料情景不可重复统计同一矿体。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</x:row>
    <x:row r="5" ht="76" customHeight="1">
      <x:c r="A5" s="15" t="str">
        <x:v>原料ID</x:v>
      </x:c>
      <x:c r="B5" s="15" t="str">
        <x:v>原料</x:v>
      </x:c>
      <x:c r="C5" s="15" t="str">
        <x:v>行单位</x:v>
      </x:c>
      <x:c r="D5" s="15" t="str">
        <x:v>I01
烧结砖/铺面块
kg</x:v>
      </x:c>
      <x:c r="E5" s="15" t="str">
        <x:v>I02
陶瓷管/耐火件
kg</x:v>
      </x:c>
      <x:c r="F5" s="15" t="str">
        <x:v>I03
岩棉/玄武岩纤维
kg</x:v>
      </x:c>
      <x:c r="G5" s="15" t="str">
        <x:v>I04
透明硅玻璃板
m²（厚5mm）</x:v>
      </x:c>
      <x:c r="H5" s="15" t="str">
        <x:v>I05
低碳钢零件
kg</x:v>
      </x:c>
      <x:c r="I5" s="15" t="str">
        <x:v>I06
裸铜导线
kg</x:v>
      </x:c>
      <x:c r="J5" s="15" t="str">
        <x:v>I07
PE管材/薄膜
kg</x:v>
      </x:c>
      <x:c r="K5" s="15" t="str">
        <x:v>I08
硅橡胶密封件
kg</x:v>
      </x:c>
      <x:c r="L5" s="15" t="str">
        <x:v>I09
润滑基料
kg</x:v>
      </x:c>
      <x:c r="M5" s="15" t="str">
        <x:v>I10
钢制紧固件
kg</x:v>
      </x:c>
      <x:c r="N5" s="15" t="str">
        <x:v>I11
流体泵套件
套（名义1kW）</x:v>
      </x:c>
      <x:c r="O5" s="15" t="str">
        <x:v>I12
感应电机套件
套（名义1kW）</x:v>
      </x:c>
      <x:c r="P5" s="15" t="str">
        <x:v>I13
储液/储气容器套件
套（容积1m³）</x:v>
      </x:c>
      <x:c r="Q5" s="15" t="str">
        <x:v>I14
电热炉套件
套（名义1kW输入）</x:v>
      </x:c>
      <x:c r="R5" s="15" t="str">
        <x:v>I15
机加工设备套件
套（名义1kW主驱动）</x:v>
      </x:c>
      <x:c r="S5" s="15" t="str">
        <x:v>I16
净水设备套件
套（名义1m³/日）</x:v>
      </x:c>
      <x:c r="T5" s="15" t="str">
        <x:v>I17
气体处理设备套件
套（名义1kg CO₂/小时）</x:v>
      </x:c>
      <x:c r="U5" s="15" t="str">
        <x:v>I18
居住/厂房围护构件套件
m²围护面</x:v>
      </x:c>
      <x:c r="V5" s="15" t="str">
        <x:v>I19
机械阀门套件
件（示例小型阀）</x:v>
      </x:c>
      <x:c r="W5" s="15" t="str">
        <x:v>I20
绝缘电缆
kg</x:v>
      </x:c>
      <x:c r="X5" s="15" t="str">
        <x:v>A01
净水
kg</x:v>
      </x:c>
      <x:c r="Y5" s="15" t="str">
        <x:v>A02
无水硝酸钙肥料当量
kg</x:v>
      </x:c>
      <x:c r="Z5" s="15" t="str">
        <x:v>A03
磷酸一铵肥料当量
kg</x:v>
      </x:c>
      <x:c r="AA5" s="15" t="str">
        <x:v>A04
硫酸钾肥料
kg</x:v>
      </x:c>
      <x:c r="AB5" s="15" t="str">
        <x:v>A05
七水硫酸镁肥料
kg</x:v>
      </x:c>
      <x:c r="AC5" s="15" t="str">
        <x:v>A06
石膏钙硫肥
kg</x:v>
      </x:c>
      <x:c r="AD5" s="15" t="str">
        <x:v>A07
小麦可食干物质
kg可食干物质</x:v>
      </x:c>
      <x:c r="AE5" s="15" t="str">
        <x:v>A08
大豆可食干物质
kg可食干物质</x:v>
      </x:c>
      <x:c r="AF5" s="15" t="str">
        <x:v>A09
马铃薯可食干物质
kg可食干物质</x:v>
      </x:c>
      <x:c r="AG5" s="15" t="str">
        <x:v>A10
叶菜可食干物质
kg可食干物质</x:v>
      </x:c>
      <x:c r="AH5" s="15" t="str">
        <x:v>A11
循环水培栽培模块
m²栽培面积</x:v>
      </x:c>
      <x:c r="AI5" s="15" t="str">
        <x:v>E01
晶硅太阳能板
m²组件</x:v>
      </x:c>
      <x:c r="AJ5" s="15" t="str">
        <x:v>E02
太阳热集热板
m²集热面积</x:v>
      </x:c>
      <x:c r="AK5" s="15" t="str">
        <x:v>E03
岩石显热储热模块
kWhₜₕ名义容量</x:v>
      </x:c>
      <x:c r="AL5" s="15" t="str">
        <x:v>E04
碱性水电解设备
套（1kW额定输入）</x:v>
      </x:c>
      <x:c r="AM5" s="15" t="str">
        <x:v>E05
甲烷合成设备
套（名义1kg CH₄/日）</x:v>
      </x:c>
      <x:c r="AN5" s="15" t="str">
        <x:v>E06
合成甲烷
kg</x:v>
      </x:c>
      <x:c r="AO5" s="15" t="str">
        <x:v>E07
氢气
kg</x:v>
      </x:c>
      <x:c r="AP5" s="15" t="str">
        <x:v>E08
氧气
kg</x:v>
      </x:c>
      <x:c r="AQ5" s="15" t="str">
        <x:v>E09
镍铁蓄电池模块
kWhₑ名义容量</x:v>
      </x:c>
      <x:c r="AR5" s="15" t="str">
        <x:v>E10
甲烷—氧气发电机套件
套（1kWₑ名义输出）</x:v>
      </x:c>
    </x:row>
    <x:row r="6" ht="40" customHeight="1">
      <x:c r="A6" s="22" t="str">
        <x:v>R01</x:v>
      </x:c>
      <x:c r="B6" s="22" t="str">
        <x:v>水冰中H₂O</x:v>
      </x:c>
      <x:c r="C6" s="22" t="str">
        <x:v>kg情景进料</x:v>
      </x:c>
      <x:c r="D6" s="36" t="n">
        <x:f>'主原料_毛投入'!D6/'原料与矿料假设'!$E$6/'原料与矿料假设'!$F$6</x:f>
        <x:v>0</x:v>
      </x:c>
      <x:c r="E6" s="36" t="n">
        <x:f>'主原料_毛投入'!E6/'原料与矿料假设'!$E$6/'原料与矿料假设'!$F$6</x:f>
        <x:v>0</x:v>
      </x:c>
      <x:c r="F6" s="36" t="n">
        <x:f>'主原料_毛投入'!F6/'原料与矿料假设'!$E$6/'原料与矿料假设'!$F$6</x:f>
        <x:v>0</x:v>
      </x:c>
      <x:c r="G6" s="36" t="n">
        <x:f>'主原料_毛投入'!G6/'原料与矿料假设'!$E$6/'原料与矿料假设'!$F$6</x:f>
        <x:v>0</x:v>
      </x:c>
      <x:c r="H6" s="36" t="n">
        <x:f>'主原料_毛投入'!H6/'原料与矿料假设'!$E$6/'原料与矿料假设'!$F$6</x:f>
        <x:v>1.0864793268301027</x:v>
      </x:c>
      <x:c r="I6" s="36" t="n">
        <x:f>'主原料_毛投入'!I6/'原料与矿料假设'!$E$6/'原料与矿料假设'!$F$6</x:f>
        <x:v>0.6299898236448137</x:v>
      </x:c>
      <x:c r="J6" s="36" t="n">
        <x:f>'主原料_毛投入'!J6/'原料与矿料假设'!$E$6/'原料与矿料假设'!$F$6</x:f>
        <x:v>8.56205888643331</x:v>
      </x:c>
      <x:c r="K6" s="36" t="n">
        <x:f>'主原料_毛投入'!K6/'原料与矿料假设'!$E$6/'原料与矿料假设'!$F$6</x:f>
        <x:v>4.318939863886866</x:v>
      </x:c>
      <x:c r="L6" s="36" t="n">
        <x:f>'主原料_毛投入'!L6/'原料与矿料假设'!$E$6/'原料与矿料假设'!$F$6</x:f>
        <x:v>8.56205888643331</x:v>
      </x:c>
      <x:c r="M6" s="36" t="n">
        <x:f>'主原料_毛投入'!M6/'原料与矿料假设'!$E$6/'原料与矿料假设'!$F$6</x:f>
        <x:v>1.0864793268301027</x:v>
      </x:c>
      <x:c r="N6" s="36" t="n">
        <x:f>'主原料_毛投入'!N6/'原料与矿料假设'!$E$6/'原料与矿料假设'!$F$6</x:f>
        <x:v>14.846524630205826</x:v>
      </x:c>
      <x:c r="O6" s="36" t="n">
        <x:f>'主原料_毛投入'!O6/'原料与矿料假设'!$E$6/'原料与矿料假设'!$F$6</x:f>
        <x:v>12.556666901979339</x:v>
      </x:c>
      <x:c r="P6" s="36" t="n">
        <x:f>'主原料_毛投入'!P6/'原料与矿料假设'!$E$6/'原料与矿料假设'!$F$6</x:f>
        <x:v>66.36754249440594</x:v>
      </x:c>
      <x:c r="Q6" s="36" t="n">
        <x:f>'主原料_毛投入'!Q6/'原料与矿料假设'!$E$6/'原料与矿料假设'!$F$6</x:f>
        <x:v>9.080447355924909</x:v>
      </x:c>
      <x:c r="R6" s="36" t="n">
        <x:f>'主原料_毛投入'!R6/'原料与矿料假设'!$E$6/'原料与矿料假设'!$F$6</x:f>
        <x:v>119.09996104037802</x:v>
      </x:c>
      <x:c r="S6" s="36" t="n">
        <x:f>'主原料_毛投入'!S6/'原料与矿料假设'!$E$6/'原料与矿料假设'!$F$6</x:f>
        <x:v>67.32934072435684</x:v>
      </x:c>
      <x:c r="T6" s="36" t="n">
        <x:f>'主原料_毛投入'!T6/'原料与矿料假设'!$E$6/'原料与矿料假设'!$F$6</x:f>
        <x:v>25.149036115835113</x:v>
      </x:c>
      <x:c r="U6" s="36" t="n">
        <x:f>'主原料_毛投入'!U6/'原料与矿料假设'!$E$6/'原料与矿料假设'!$F$6</x:f>
        <x:v>31.155433395812732</x:v>
      </x:c>
      <x:c r="V6" s="36" t="n">
        <x:f>'主原料_毛投入'!V6/'原料与矿料假设'!$E$6/'原料与矿料假设'!$F$6</x:f>
        <x:v>1.1073995900636984</x:v>
      </x:c>
      <x:c r="W6" s="36" t="n">
        <x:f>'主原料_毛投入'!W6/'原料与矿料假设'!$E$6/'原料与矿料假设'!$F$6</x:f>
        <x:v>2.2164036362025126</x:v>
      </x:c>
      <x:c r="X6" s="36" t="n">
        <x:f>'主原料_毛投入'!X6/'原料与矿料假设'!$E$6/'原料与矿料假设'!$F$6</x:f>
        <x:v>2.2222222222222223</x:v>
      </x:c>
      <x:c r="Y6" s="36" t="n">
        <x:f>'主原料_毛投入'!Y6/'原料与矿料假设'!$E$6/'原料与矿料假设'!$F$6</x:f>
        <x:v>0.7319332545128774</x:v>
      </x:c>
      <x:c r="Z6" s="36" t="n">
        <x:f>'主原料_毛投入'!Z6/'原料与矿料假设'!$E$6/'原料与矿料假设'!$F$6</x:f>
        <x:v>2.262261827139028</x:v>
      </x:c>
      <x:c r="AA6" s="36" t="n">
        <x:f>'主原料_毛投入'!AA6/'原料与矿料假设'!$E$6/'原料与矿料假设'!$F$6</x:f>
        <x:v>0.22974389581372573</x:v>
      </x:c>
      <x:c r="AB6" s="36" t="n">
        <x:f>'主原料_毛投入'!AB6/'原料与矿料假设'!$E$6/'原料与矿料假设'!$F$6</x:f>
        <x:v>0.974576615030065</x:v>
      </x:c>
      <x:c r="AC6" s="36" t="n">
        <x:f>'主原料_毛投入'!AC6/'原料与矿料假设'!$E$6/'原料与矿料假设'!$F$6</x:f>
        <x:v>0</x:v>
      </x:c>
      <x:c r="AD6" s="36" t="n">
        <x:f>'主原料_毛投入'!AD6/'原料与矿料假设'!$E$6/'原料与矿料假设'!$F$6</x:f>
        <x:v>23.00185437382897</x:v>
      </x:c>
      <x:c r="AE6" s="36" t="n">
        <x:f>'主原料_毛投入'!AE6/'原料与矿料假设'!$E$6/'原料与矿料假设'!$F$6</x:f>
        <x:v>26.369487315396924</x:v>
      </x:c>
      <x:c r="AF6" s="36" t="n">
        <x:f>'主原料_毛投入'!AF6/'原料与矿料假设'!$E$6/'原料与矿料假设'!$F$6</x:f>
        <x:v>13.781660942174572</x:v>
      </x:c>
      <x:c r="AG6" s="36" t="n">
        <x:f>'主原料_毛投入'!AG6/'原料与矿料假设'!$E$6/'原料与矿料假设'!$F$6</x:f>
        <x:v>12.16203639438178</x:v>
      </x:c>
      <x:c r="AH6" s="36" t="n">
        <x:f>'主原料_毛投入'!AH6/'原料与矿料假设'!$E$6/'原料与矿料假设'!$F$6</x:f>
        <x:v>31.86089952496073</x:v>
      </x:c>
      <x:c r="AI6" s="36" t="n">
        <x:f>'主原料_毛投入'!AI6/'原料与矿料假设'!$E$6/'原料与矿料假设'!$F$6</x:f>
        <x:v>9.28315442813151</x:v>
      </x:c>
      <x:c r="AJ6" s="36" t="n">
        <x:f>'主原料_毛投入'!AJ6/'原料与矿料假设'!$E$6/'原料与矿料假设'!$F$6</x:f>
        <x:v>7.265764859191711</x:v>
      </x:c>
      <x:c r="AK6" s="36" t="n">
        <x:f>'主原料_毛投入'!AK6/'原料与矿料假设'!$E$6/'原料与矿料假设'!$F$6</x:f>
        <x:v>2.1729586536602055</x:v>
      </x:c>
      <x:c r="AL6" s="36" t="n">
        <x:f>'主原料_毛投入'!AL6/'原料与矿料假设'!$E$6/'原料与矿料假设'!$F$6</x:f>
        <x:v>27.39187831751588</x:v>
      </x:c>
      <x:c r="AM6" s="36" t="n">
        <x:f>'主原料_毛投入'!AM6/'原料与矿料假设'!$E$6/'原料与矿料假设'!$F$6</x:f>
        <x:v>35.491081512676935</x:v>
      </x:c>
      <x:c r="AN6" s="36" t="n">
        <x:f>'主原料_毛投入'!AN6/'原料与矿料假设'!$E$6/'原料与矿料假设'!$F$6</x:f>
        <x:v>9.981508030501361</x:v>
      </x:c>
      <x:c r="AO6" s="36" t="n">
        <x:f>'主原料_毛投入'!AO6/'原料与矿料假设'!$E$6/'原料与矿料假设'!$F$6</x:f>
        <x:v>19.857804232804234</x:v>
      </x:c>
      <x:c r="AP6" s="36" t="n">
        <x:f>'主原料_毛投入'!AP6/'原料与矿料假设'!$E$6/'原料与矿料假设'!$F$6</x:f>
        <x:v>0</x:v>
      </x:c>
      <x:c r="AQ6" s="36" t="n">
        <x:f>'主原料_毛投入'!AQ6/'原料与矿料假设'!$E$6/'原料与矿料假设'!$F$6</x:f>
        <x:v>53.32562155756233</x:v>
      </x:c>
      <x:c r="AR6" s="36" t="n">
        <x:f>'主原料_毛投入'!AR6/'原料与矿料假设'!$E$6/'原料与矿料假设'!$F$6</x:f>
        <x:v>69.00440086355148</x:v>
      </x:c>
    </x:row>
    <x:row r="7" ht="40" customHeight="1">
      <x:c r="A7" s="22" t="str">
        <x:v>R02</x:v>
      </x:c>
      <x:c r="B7" s="22" t="str">
        <x:v>大气CO₂组分</x:v>
      </x:c>
      <x:c r="C7" s="22" t="str">
        <x:v>kg情景进料</x:v>
      </x:c>
      <x:c r="D7" s="36" t="n">
        <x:f>'主原料_毛投入'!D7/'原料与矿料假设'!$E$7/'原料与矿料假设'!$F$7</x:f>
        <x:v>0</x:v>
      </x:c>
      <x:c r="E7" s="36" t="n">
        <x:f>'主原料_毛投入'!E7/'原料与矿料假设'!$E$7/'原料与矿料假设'!$F$7</x:f>
        <x:v>0</x:v>
      </x:c>
      <x:c r="F7" s="36" t="n">
        <x:f>'主原料_毛投入'!F7/'原料与矿料假设'!$E$7/'原料与矿料假设'!$F$7</x:f>
        <x:v>0</x:v>
      </x:c>
      <x:c r="G7" s="36" t="n">
        <x:f>'主原料_毛投入'!G7/'原料与矿料假设'!$E$7/'原料与矿料假设'!$F$7</x:f>
        <x:v>0</x:v>
      </x:c>
      <x:c r="H7" s="36" t="n">
        <x:f>'主原料_毛投入'!H7/'原料与矿料假设'!$E$7/'原料与矿料假设'!$F$7</x:f>
        <x:v>0.008142350993071167</x:v>
      </x:c>
      <x:c r="I7" s="36" t="n">
        <x:f>'主原料_毛投入'!I7/'原料与矿料假设'!$E$7/'原料与矿料假设'!$F$7</x:f>
        <x:v>0</x:v>
      </x:c>
      <x:c r="J7" s="36" t="n">
        <x:f>'主原料_毛投入'!J7/'原料与矿料假设'!$E$7/'原料与矿料假设'!$F$7</x:f>
        <x:v>3.4860546723382684</x:v>
      </x:c>
      <x:c r="K7" s="36" t="n">
        <x:f>'主原料_毛投入'!K7/'原料与矿料假设'!$E$7/'原料与矿料假设'!$F$7</x:f>
        <x:v>2.1101551426011333</x:v>
      </x:c>
      <x:c r="L7" s="36" t="n">
        <x:f>'主原料_毛投入'!L7/'原料与矿料假设'!$E$7/'原料与矿料假设'!$F$7</x:f>
        <x:v>3.4860546723382684</x:v>
      </x:c>
      <x:c r="M7" s="36" t="n">
        <x:f>'主原料_毛投入'!M7/'原料与矿料假设'!$E$7/'原料与矿料假设'!$F$7</x:f>
        <x:v>0.008142350993071167</x:v>
      </x:c>
      <x:c r="N7" s="36" t="n">
        <x:f>'主原料_毛投入'!N7/'原料与矿料假设'!$E$7/'原料与矿料假设'!$F$7</x:f>
        <x:v>0.5197392404370806</x:v>
      </x:c>
      <x:c r="O7" s="36" t="n">
        <x:f>'主原料_毛投入'!O7/'原料与矿料假设'!$E$7/'原料与矿料假设'!$F$7</x:f>
        <x:v>0.292439024190825</x:v>
      </x:c>
      <x:c r="P7" s="36" t="n">
        <x:f>'主原料_毛投入'!P7/'原料与矿料假设'!$E$7/'原料与矿料假设'!$F$7</x:f>
        <x:v>0.9105720881044966</x:v>
      </x:c>
      <x:c r="Q7" s="36" t="n">
        <x:f>'主原料_毛投入'!Q7/'原料与矿料假设'!$E$7/'原料与矿料假设'!$F$7</x:f>
        <x:v>2.0762995032331473</x:v>
      </x:c>
      <x:c r="R7" s="36" t="n">
        <x:f>'主原料_毛投入'!R7/'原料与矿料假设'!$E$7/'原料与矿料假设'!$F$7</x:f>
        <x:v>4.300289771645385</x:v>
      </x:c>
      <x:c r="S7" s="36" t="n">
        <x:f>'主原料_毛投入'!S7/'原料与矿料假设'!$E$7/'原料与矿料假设'!$F$7</x:f>
        <x:v>18.64819795285333</x:v>
      </x:c>
      <x:c r="T7" s="36" t="n">
        <x:f>'主原料_毛投入'!T7/'原料与矿料假设'!$E$7/'原料与矿料假设'!$F$7</x:f>
        <x:v>1.21792459116199</x:v>
      </x:c>
      <x:c r="U7" s="36" t="n">
        <x:f>'主原料_毛投入'!U7/'原料与矿料假设'!$E$7/'原料与矿料假设'!$F$7</x:f>
        <x:v>4.070932720719918</x:v>
      </x:c>
      <x:c r="V7" s="36" t="n">
        <x:f>'主原料_毛投入'!V7/'原料与矿料假设'!$E$7/'原料与矿料假设'!$F$7</x:f>
        <x:v>0.07063277017179805</x:v>
      </x:c>
      <x:c r="W7" s="36" t="n">
        <x:f>'主原料_毛投入'!W7/'原料与矿料假设'!$E$7/'原料与矿料假设'!$F$7</x:f>
        <x:v>0.6972109344676537</x:v>
      </x:c>
      <x:c r="X7" s="36" t="n">
        <x:f>'主原料_毛投入'!X7/'原料与矿料假设'!$E$7/'原料与矿料假设'!$F$7</x:f>
        <x:v>0</x:v>
      </x:c>
      <x:c r="Y7" s="36" t="n">
        <x:f>'主原料_毛投入'!Y7/'原料与矿料假设'!$E$7/'原料与矿料假设'!$F$7</x:f>
        <x:v>2.384061474538419</x:v>
      </x:c>
      <x:c r="Z7" s="36" t="n">
        <x:f>'主原料_毛投入'!Z7/'原料与矿料假设'!$E$7/'原料与矿料假设'!$F$7</x:f>
        <x:v>2.125576565480934</x:v>
      </x:c>
      <x:c r="AA7" s="36" t="n">
        <x:f>'主原料_毛投入'!AA7/'原料与矿料假设'!$E$7/'原料与矿料假设'!$F$7</x:f>
        <x:v>0.8418650383735432</x:v>
      </x:c>
      <x:c r="AB7" s="36" t="n">
        <x:f>'主原料_毛投入'!AB7/'原料与矿料假设'!$E$7/'原料与矿料假设'!$F$7</x:f>
        <x:v>0</x:v>
      </x:c>
      <x:c r="AC7" s="36" t="n">
        <x:f>'主原料_毛投入'!AC7/'原料与矿料假设'!$E$7/'原料与矿料假设'!$F$7</x:f>
        <x:v>0</x:v>
      </x:c>
      <x:c r="AD7" s="36" t="n">
        <x:f>'主原料_毛投入'!AD7/'原料与矿料假设'!$E$7/'原料与矿料假设'!$F$7</x:f>
        <x:v>4.93418491388875</x:v>
      </x:c>
      <x:c r="AE7" s="36" t="n">
        <x:f>'主原料_毛投入'!AE7/'原料与矿料假设'!$E$7/'原料与矿料假设'!$F$7</x:f>
        <x:v>6.96047982252435</x:v>
      </x:c>
      <x:c r="AF7" s="36" t="n">
        <x:f>'主原料_毛投入'!AF7/'原料与矿料假设'!$E$7/'原料与矿料假设'!$F$7</x:f>
        <x:v>2.844260002885988</x:v>
      </x:c>
      <x:c r="AG7" s="36" t="n">
        <x:f>'主原料_毛投入'!AG7/'原料与矿料假设'!$E$7/'原料与矿料假设'!$F$7</x:f>
        <x:v>2.610481028066831</x:v>
      </x:c>
      <x:c r="AH7" s="36" t="n">
        <x:f>'主原料_毛投入'!AH7/'原料与矿料假设'!$E$7/'原料与矿料假设'!$F$7</x:f>
        <x:v>10.524862734002015</x:v>
      </x:c>
      <x:c r="AI7" s="36" t="n">
        <x:f>'主原料_毛投入'!AI7/'原料与矿料假设'!$E$7/'原料与矿料假设'!$F$7</x:f>
        <x:v>5.2194626705786025</x:v>
      </x:c>
      <x:c r="AJ7" s="36" t="n">
        <x:f>'主原料_毛投入'!AJ7/'原料与矿料假设'!$E$7/'原料与矿料假设'!$F$7</x:f>
        <x:v>0.2598696202185403</x:v>
      </x:c>
      <x:c r="AK7" s="36" t="n">
        <x:f>'主原料_毛投入'!AK7/'原料与矿料假设'!$E$7/'原料与矿料假设'!$F$7</x:f>
        <x:v>0.016284701986142333</x:v>
      </x:c>
      <x:c r="AL7" s="36" t="n">
        <x:f>'主原料_毛投入'!AL7/'原料与矿料假设'!$E$7/'原料与矿料假设'!$F$7</x:f>
        <x:v>4.0302209657545625</x:v>
      </x:c>
      <x:c r="AM7" s="36" t="n">
        <x:f>'主原料_毛投入'!AM7/'原料与矿料假设'!$E$7/'原料与矿料假设'!$F$7</x:f>
        <x:v>0.8773170725724749</x:v>
      </x:c>
      <x:c r="AN7" s="36" t="n">
        <x:f>'主原料_毛投入'!AN7/'原料与矿料假设'!$E$7/'原料与矿料假设'!$F$7</x:f>
        <x:v>3.047989084889914</x:v>
      </x:c>
      <x:c r="AO7" s="36" t="n">
        <x:f>'主原料_毛投入'!AO7/'原料与矿料假设'!$E$7/'原料与矿料假设'!$F$7</x:f>
        <x:v>0</x:v>
      </x:c>
      <x:c r="AP7" s="36" t="n">
        <x:f>'主原料_毛投入'!AP7/'原料与矿料假设'!$E$7/'原料与矿料假设'!$F$7</x:f>
        <x:v>3.056371578779229</x:v>
      </x:c>
      <x:c r="AQ7" s="36" t="n">
        <x:f>'主原料_毛投入'!AQ7/'原料与矿料假设'!$E$7/'原料与矿料假设'!$F$7</x:f>
        <x:v>7.053532854607249</x:v>
      </x:c>
      <x:c r="AR7" s="36" t="n">
        <x:f>'主原料_毛投入'!AR7/'原料与矿料假设'!$E$7/'原料与矿料假设'!$F$7</x:f>
        <x:v>1.1215876023646099</x:v>
      </x:c>
    </x:row>
    <x:row r="8" ht="40" customHeight="1">
      <x:c r="A8" s="22" t="str">
        <x:v>R03</x:v>
      </x:c>
      <x:c r="B8" s="22" t="str">
        <x:v>大气N₂组分</x:v>
      </x:c>
      <x:c r="C8" s="22" t="str">
        <x:v>kg情景进料</x:v>
      </x:c>
      <x:c r="D8" s="36" t="n">
        <x:f>'主原料_毛投入'!D8/'原料与矿料假设'!$E$8/'原料与矿料假设'!$F$8</x:f>
        <x:v>0</x:v>
      </x:c>
      <x:c r="E8" s="36" t="n">
        <x:f>'主原料_毛投入'!E8/'原料与矿料假设'!$E$8/'原料与矿料假设'!$F$8</x:f>
        <x:v>0</x:v>
      </x:c>
      <x:c r="F8" s="36" t="n">
        <x:f>'主原料_毛投入'!F8/'原料与矿料假设'!$E$8/'原料与矿料假设'!$F$8</x:f>
        <x:v>0</x:v>
      </x:c>
      <x:c r="G8" s="36" t="n">
        <x:f>'主原料_毛投入'!G8/'原料与矿料假设'!$E$8/'原料与矿料假设'!$F$8</x:f>
        <x:v>0</x:v>
      </x:c>
      <x:c r="H8" s="36" t="n">
        <x:f>'主原料_毛投入'!H8/'原料与矿料假设'!$E$8/'原料与矿料假设'!$F$8</x:f>
        <x:v>0</x:v>
      </x:c>
      <x:c r="I8" s="36" t="n">
        <x:f>'主原料_毛投入'!I8/'原料与矿料假设'!$E$8/'原料与矿料假设'!$F$8</x:f>
        <x:v>0</x:v>
      </x:c>
      <x:c r="J8" s="36" t="n">
        <x:f>'主原料_毛投入'!J8/'原料与矿料假设'!$E$8/'原料与矿料假设'!$F$8</x:f>
        <x:v>0</x:v>
      </x:c>
      <x:c r="K8" s="36" t="n">
        <x:f>'主原料_毛投入'!K8/'原料与矿料假设'!$E$8/'原料与矿料假设'!$F$8</x:f>
        <x:v>0</x:v>
      </x:c>
      <x:c r="L8" s="36" t="n">
        <x:f>'主原料_毛投入'!L8/'原料与矿料假设'!$E$8/'原料与矿料假设'!$F$8</x:f>
        <x:v>0</x:v>
      </x:c>
      <x:c r="M8" s="36" t="n">
        <x:f>'主原料_毛投入'!M8/'原料与矿料假设'!$E$8/'原料与矿料假设'!$F$8</x:f>
        <x:v>0</x:v>
      </x:c>
      <x:c r="N8" s="36" t="n">
        <x:f>'主原料_毛投入'!N8/'原料与矿料假设'!$E$8/'原料与矿料假设'!$F$8</x:f>
        <x:v>0</x:v>
      </x:c>
      <x:c r="O8" s="36" t="n">
        <x:f>'主原料_毛投入'!O8/'原料与矿料假设'!$E$8/'原料与矿料假设'!$F$8</x:f>
        <x:v>0</x:v>
      </x:c>
      <x:c r="P8" s="36" t="n">
        <x:f>'主原料_毛投入'!P8/'原料与矿料假设'!$E$8/'原料与矿料假设'!$F$8</x:f>
        <x:v>0</x:v>
      </x:c>
      <x:c r="Q8" s="36" t="n">
        <x:f>'主原料_毛投入'!Q8/'原料与矿料假设'!$E$8/'原料与矿料假设'!$F$8</x:f>
        <x:v>0</x:v>
      </x:c>
      <x:c r="R8" s="36" t="n">
        <x:f>'主原料_毛投入'!R8/'原料与矿料假设'!$E$8/'原料与矿料假设'!$F$8</x:f>
        <x:v>0</x:v>
      </x:c>
      <x:c r="S8" s="36" t="n">
        <x:f>'主原料_毛投入'!S8/'原料与矿料假设'!$E$8/'原料与矿料假设'!$F$8</x:f>
        <x:v>0</x:v>
      </x:c>
      <x:c r="T8" s="36" t="n">
        <x:f>'主原料_毛投入'!T8/'原料与矿料假设'!$E$8/'原料与矿料假设'!$F$8</x:f>
        <x:v>0</x:v>
      </x:c>
      <x:c r="U8" s="36" t="n">
        <x:f>'主原料_毛投入'!U8/'原料与矿料假设'!$E$8/'原料与矿料假设'!$F$8</x:f>
        <x:v>0</x:v>
      </x:c>
      <x:c r="V8" s="36" t="n">
        <x:f>'主原料_毛投入'!V8/'原料与矿料假设'!$E$8/'原料与矿料假设'!$F$8</x:f>
        <x:v>0</x:v>
      </x:c>
      <x:c r="W8" s="36" t="n">
        <x:f>'主原料_毛投入'!W8/'原料与矿料假设'!$E$8/'原料与矿料假设'!$F$8</x:f>
        <x:v>0</x:v>
      </x:c>
      <x:c r="X8" s="36" t="n">
        <x:f>'主原料_毛投入'!X8/'原料与矿料假设'!$E$8/'原料与矿料假设'!$F$8</x:f>
        <x:v>0</x:v>
      </x:c>
      <x:c r="Y8" s="36" t="n">
        <x:f>'主原料_毛投入'!Y8/'原料与矿料假设'!$E$8/'原料与矿料假设'!$F$8</x:f>
        <x:v>0.21340943163950607</x:v>
      </x:c>
      <x:c r="Z8" s="36" t="n">
        <x:f>'主原料_毛投入'!Z8/'原料与矿料假设'!$E$8/'原料与矿料假设'!$F$8</x:f>
        <x:v>0.1522169093675288</x:v>
      </x:c>
      <x:c r="AA8" s="36" t="n">
        <x:f>'主原料_毛投入'!AA8/'原料与矿料假设'!$E$8/'原料与矿料假设'!$F$8</x:f>
        <x:v>0</x:v>
      </x:c>
      <x:c r="AB8" s="36" t="n">
        <x:f>'主原料_毛投入'!AB8/'原料与矿料假设'!$E$8/'原料与矿料假设'!$F$8</x:f>
        <x:v>0</x:v>
      </x:c>
      <x:c r="AC8" s="36" t="n">
        <x:f>'主原料_毛投入'!AC8/'原料与矿料假设'!$E$8/'原料与矿料假设'!$F$8</x:f>
        <x:v>0</x:v>
      </x:c>
      <x:c r="AD8" s="36" t="n">
        <x:f>'主原料_毛投入'!AD8/'原料与矿料假设'!$E$8/'原料与矿料假设'!$F$8</x:f>
        <x:v>0.06666666666666668</x:v>
      </x:c>
      <x:c r="AE8" s="36" t="n">
        <x:f>'主原料_毛投入'!AE8/'原料与矿料假设'!$E$8/'原料与矿料假设'!$F$8</x:f>
        <x:v>0.17187499999999997</x:v>
      </x:c>
      <x:c r="AF8" s="36" t="n">
        <x:f>'主原料_毛投入'!AF8/'原料与矿料假设'!$E$8/'原料与矿料假设'!$F$8</x:f>
        <x:v>0.033333333333333326</x:v>
      </x:c>
      <x:c r="AG8" s="36" t="n">
        <x:f>'主原料_毛投入'!AG8/'原料与矿料假设'!$E$8/'原料与矿料假设'!$F$8</x:f>
        <x:v>0.05147058823529412</x:v>
      </x:c>
      <x:c r="AH8" s="36" t="n">
        <x:f>'主原料_毛投入'!AH8/'原料与矿料假设'!$E$8/'原料与矿料假设'!$F$8</x:f>
        <x:v>0</x:v>
      </x:c>
      <x:c r="AI8" s="36" t="n">
        <x:f>'主原料_毛投入'!AI8/'原料与矿料假设'!$E$8/'原料与矿料假设'!$F$8</x:f>
        <x:v>0</x:v>
      </x:c>
      <x:c r="AJ8" s="36" t="n">
        <x:f>'主原料_毛投入'!AJ8/'原料与矿料假设'!$E$8/'原料与矿料假设'!$F$8</x:f>
        <x:v>0</x:v>
      </x:c>
      <x:c r="AK8" s="36" t="n">
        <x:f>'主原料_毛投入'!AK8/'原料与矿料假设'!$E$8/'原料与矿料假设'!$F$8</x:f>
        <x:v>0</x:v>
      </x:c>
      <x:c r="AL8" s="36" t="n">
        <x:f>'主原料_毛投入'!AL8/'原料与矿料假设'!$E$8/'原料与矿料假设'!$F$8</x:f>
        <x:v>0</x:v>
      </x:c>
      <x:c r="AM8" s="36" t="n">
        <x:f>'主原料_毛投入'!AM8/'原料与矿料假设'!$E$8/'原料与矿料假设'!$F$8</x:f>
        <x:v>0</x:v>
      </x:c>
      <x:c r="AN8" s="36" t="n">
        <x:f>'主原料_毛投入'!AN8/'原料与矿料假设'!$E$8/'原料与矿料假设'!$F$8</x:f>
        <x:v>0</x:v>
      </x:c>
      <x:c r="AO8" s="36" t="n">
        <x:f>'主原料_毛投入'!AO8/'原料与矿料假设'!$E$8/'原料与矿料假设'!$F$8</x:f>
        <x:v>0</x:v>
      </x:c>
      <x:c r="AP8" s="36" t="n">
        <x:f>'主原料_毛投入'!AP8/'原料与矿料假设'!$E$8/'原料与矿料假设'!$F$8</x:f>
        <x:v>0</x:v>
      </x:c>
      <x:c r="AQ8" s="36" t="n">
        <x:f>'主原料_毛投入'!AQ8/'原料与矿料假设'!$E$8/'原料与矿料假设'!$F$8</x:f>
        <x:v>0</x:v>
      </x:c>
      <x:c r="AR8" s="36" t="n">
        <x:f>'主原料_毛投入'!AR8/'原料与矿料假设'!$E$8/'原料与矿料假设'!$F$8</x:f>
        <x:v>0</x:v>
      </x:c>
    </x:row>
    <x:row r="9" ht="40" customHeight="1">
      <x:c r="A9" s="22" t="str">
        <x:v>R04</x:v>
      </x:c>
      <x:c r="B9" s="22" t="str">
        <x:v>大气Ar组分</x:v>
      </x:c>
      <x:c r="C9" s="22" t="str">
        <x:v>kg情景进料</x:v>
      </x:c>
      <x:c r="D9" s="36" t="n">
        <x:f>'主原料_毛投入'!D9/'原料与矿料假设'!$E$9/'原料与矿料假设'!$F$9</x:f>
        <x:v>0</x:v>
      </x:c>
      <x:c r="E9" s="36" t="n">
        <x:f>'主原料_毛投入'!E9/'原料与矿料假设'!$E$9/'原料与矿料假设'!$F$9</x:f>
        <x:v>0</x:v>
      </x:c>
      <x:c r="F9" s="36" t="n">
        <x:f>'主原料_毛投入'!F9/'原料与矿料假设'!$E$9/'原料与矿料假设'!$F$9</x:f>
        <x:v>0</x:v>
      </x:c>
      <x:c r="G9" s="36" t="n">
        <x:f>'主原料_毛投入'!G9/'原料与矿料假设'!$E$9/'原料与矿料假设'!$F$9</x:f>
        <x:v>0</x:v>
      </x:c>
      <x:c r="H9" s="36" t="n">
        <x:f>'主原料_毛投入'!H9/'原料与矿料假设'!$E$9/'原料与矿料假设'!$F$9</x:f>
        <x:v>0</x:v>
      </x:c>
      <x:c r="I9" s="36" t="n">
        <x:f>'主原料_毛投入'!I9/'原料与矿料假设'!$E$9/'原料与矿料假设'!$F$9</x:f>
        <x:v>0</x:v>
      </x:c>
      <x:c r="J9" s="36" t="n">
        <x:f>'主原料_毛投入'!J9/'原料与矿料假设'!$E$9/'原料与矿料假设'!$F$9</x:f>
        <x:v>0</x:v>
      </x:c>
      <x:c r="K9" s="36" t="n">
        <x:f>'主原料_毛投入'!K9/'原料与矿料假设'!$E$9/'原料与矿料假设'!$F$9</x:f>
        <x:v>0</x:v>
      </x:c>
      <x:c r="L9" s="36" t="n">
        <x:f>'主原料_毛投入'!L9/'原料与矿料假设'!$E$9/'原料与矿料假设'!$F$9</x:f>
        <x:v>0</x:v>
      </x:c>
      <x:c r="M9" s="36" t="n">
        <x:f>'主原料_毛投入'!M9/'原料与矿料假设'!$E$9/'原料与矿料假设'!$F$9</x:f>
        <x:v>0</x:v>
      </x:c>
      <x:c r="N9" s="36" t="n">
        <x:f>'主原料_毛投入'!N9/'原料与矿料假设'!$E$9/'原料与矿料假设'!$F$9</x:f>
        <x:v>0</x:v>
      </x:c>
      <x:c r="O9" s="36" t="n">
        <x:f>'主原料_毛投入'!O9/'原料与矿料假设'!$E$9/'原料与矿料假设'!$F$9</x:f>
        <x:v>0</x:v>
      </x:c>
      <x:c r="P9" s="36" t="n">
        <x:f>'主原料_毛投入'!P9/'原料与矿料假设'!$E$9/'原料与矿料假设'!$F$9</x:f>
        <x:v>0</x:v>
      </x:c>
      <x:c r="Q9" s="36" t="n">
        <x:f>'主原料_毛投入'!Q9/'原料与矿料假设'!$E$9/'原料与矿料假设'!$F$9</x:f>
        <x:v>0</x:v>
      </x:c>
      <x:c r="R9" s="36" t="n">
        <x:f>'主原料_毛投入'!R9/'原料与矿料假设'!$E$9/'原料与矿料假设'!$F$9</x:f>
        <x:v>0</x:v>
      </x:c>
      <x:c r="S9" s="36" t="n">
        <x:f>'主原料_毛投入'!S9/'原料与矿料假设'!$E$9/'原料与矿料假设'!$F$9</x:f>
        <x:v>0</x:v>
      </x:c>
      <x:c r="T9" s="36" t="n">
        <x:f>'主原料_毛投入'!T9/'原料与矿料假设'!$E$9/'原料与矿料假设'!$F$9</x:f>
        <x:v>0</x:v>
      </x:c>
      <x:c r="U9" s="36" t="n">
        <x:f>'主原料_毛投入'!U9/'原料与矿料假设'!$E$9/'原料与矿料假设'!$F$9</x:f>
        <x:v>0</x:v>
      </x:c>
      <x:c r="V9" s="36" t="n">
        <x:f>'主原料_毛投入'!V9/'原料与矿料假设'!$E$9/'原料与矿料假设'!$F$9</x:f>
        <x:v>0</x:v>
      </x:c>
      <x:c r="W9" s="36" t="n">
        <x:f>'主原料_毛投入'!W9/'原料与矿料假设'!$E$9/'原料与矿料假设'!$F$9</x:f>
        <x:v>0</x:v>
      </x:c>
      <x:c r="X9" s="36" t="n">
        <x:f>'主原料_毛投入'!X9/'原料与矿料假设'!$E$9/'原料与矿料假设'!$F$9</x:f>
        <x:v>0</x:v>
      </x:c>
      <x:c r="Y9" s="36" t="n">
        <x:f>'主原料_毛投入'!Y9/'原料与矿料假设'!$E$9/'原料与矿料假设'!$F$9</x:f>
        <x:v>0</x:v>
      </x:c>
      <x:c r="Z9" s="36" t="n">
        <x:f>'主原料_毛投入'!Z9/'原料与矿料假设'!$E$9/'原料与矿料假设'!$F$9</x:f>
        <x:v>0</x:v>
      </x:c>
      <x:c r="AA9" s="36" t="n">
        <x:f>'主原料_毛投入'!AA9/'原料与矿料假设'!$E$9/'原料与矿料假设'!$F$9</x:f>
        <x:v>0</x:v>
      </x:c>
      <x:c r="AB9" s="36" t="n">
        <x:f>'主原料_毛投入'!AB9/'原料与矿料假设'!$E$9/'原料与矿料假设'!$F$9</x:f>
        <x:v>0</x:v>
      </x:c>
      <x:c r="AC9" s="36" t="n">
        <x:f>'主原料_毛投入'!AC9/'原料与矿料假设'!$E$9/'原料与矿料假设'!$F$9</x:f>
        <x:v>0</x:v>
      </x:c>
      <x:c r="AD9" s="36" t="n">
        <x:f>'主原料_毛投入'!AD9/'原料与矿料假设'!$E$9/'原料与矿料假设'!$F$9</x:f>
        <x:v>0</x:v>
      </x:c>
      <x:c r="AE9" s="36" t="n">
        <x:f>'主原料_毛投入'!AE9/'原料与矿料假设'!$E$9/'原料与矿料假设'!$F$9</x:f>
        <x:v>0</x:v>
      </x:c>
      <x:c r="AF9" s="36" t="n">
        <x:f>'主原料_毛投入'!AF9/'原料与矿料假设'!$E$9/'原料与矿料假设'!$F$9</x:f>
        <x:v>0</x:v>
      </x:c>
      <x:c r="AG9" s="36" t="n">
        <x:f>'主原料_毛投入'!AG9/'原料与矿料假设'!$E$9/'原料与矿料假设'!$F$9</x:f>
        <x:v>0</x:v>
      </x:c>
      <x:c r="AH9" s="36" t="n">
        <x:f>'主原料_毛投入'!AH9/'原料与矿料假设'!$E$9/'原料与矿料假设'!$F$9</x:f>
        <x:v>0</x:v>
      </x:c>
      <x:c r="AI9" s="36" t="n">
        <x:f>'主原料_毛投入'!AI9/'原料与矿料假设'!$E$9/'原料与矿料假设'!$F$9</x:f>
        <x:v>0</x:v>
      </x:c>
      <x:c r="AJ9" s="36" t="n">
        <x:f>'主原料_毛投入'!AJ9/'原料与矿料假设'!$E$9/'原料与矿料假设'!$F$9</x:f>
        <x:v>0</x:v>
      </x:c>
      <x:c r="AK9" s="36" t="n">
        <x:f>'主原料_毛投入'!AK9/'原料与矿料假设'!$E$9/'原料与矿料假设'!$F$9</x:f>
        <x:v>0</x:v>
      </x:c>
      <x:c r="AL9" s="36" t="n">
        <x:f>'主原料_毛投入'!AL9/'原料与矿料假设'!$E$9/'原料与矿料假设'!$F$9</x:f>
        <x:v>0</x:v>
      </x:c>
      <x:c r="AM9" s="36" t="n">
        <x:f>'主原料_毛投入'!AM9/'原料与矿料假设'!$E$9/'原料与矿料假设'!$F$9</x:f>
        <x:v>0</x:v>
      </x:c>
      <x:c r="AN9" s="36" t="n">
        <x:f>'主原料_毛投入'!AN9/'原料与矿料假设'!$E$9/'原料与矿料假设'!$F$9</x:f>
        <x:v>0</x:v>
      </x:c>
      <x:c r="AO9" s="36" t="n">
        <x:f>'主原料_毛投入'!AO9/'原料与矿料假设'!$E$9/'原料与矿料假设'!$F$9</x:f>
        <x:v>0</x:v>
      </x:c>
      <x:c r="AP9" s="36" t="n">
        <x:f>'主原料_毛投入'!AP9/'原料与矿料假设'!$E$9/'原料与矿料假设'!$F$9</x:f>
        <x:v>0</x:v>
      </x:c>
      <x:c r="AQ9" s="36" t="n">
        <x:f>'主原料_毛投入'!AQ9/'原料与矿料假设'!$E$9/'原料与矿料假设'!$F$9</x:f>
        <x:v>0</x:v>
      </x:c>
      <x:c r="AR9" s="36" t="n">
        <x:f>'主原料_毛投入'!AR9/'原料与矿料假设'!$E$9/'原料与矿料假设'!$F$9</x:f>
        <x:v>0</x:v>
      </x:c>
    </x:row>
    <x:row r="10" ht="40" customHeight="1">
      <x:c r="A10" s="22" t="str">
        <x:v>R05</x:v>
      </x:c>
      <x:c r="B10" s="22" t="str">
        <x:v>可用玄武质风化层</x:v>
      </x:c>
      <x:c r="C10" s="22" t="str">
        <x:v>kg情景进料</x:v>
      </x:c>
      <x:c r="D10" s="36" t="n">
        <x:f>'主原料_毛投入'!D10/'原料与矿料假设'!$E$10/'原料与矿料假设'!$F$10</x:f>
        <x:v>1.1695906432748537</x:v>
      </x:c>
      <x:c r="E10" s="36" t="n">
        <x:f>'主原料_毛投入'!E10/'原料与矿料假设'!$E$10/'原料与矿料假设'!$F$10</x:f>
        <x:v>1.2345679012345678</x:v>
      </x:c>
      <x:c r="F10" s="36" t="n">
        <x:f>'主原料_毛投入'!F10/'原料与矿料假设'!$E$10/'原料与矿料假设'!$F$10</x:f>
        <x:v>1.2345679012345678</x:v>
      </x:c>
      <x:c r="G10" s="36" t="n">
        <x:f>'主原料_毛投入'!G10/'原料与矿料假设'!$E$10/'原料与矿料假设'!$F$10</x:f>
        <x:v>0</x:v>
      </x:c>
      <x:c r="H10" s="36" t="n">
        <x:f>'主原料_毛投入'!H10/'原料与矿料假设'!$E$10/'原料与矿料假设'!$F$10</x:f>
        <x:v>0</x:v>
      </x:c>
      <x:c r="I10" s="36" t="n">
        <x:f>'主原料_毛投入'!I10/'原料与矿料假设'!$E$10/'原料与矿料假设'!$F$10</x:f>
        <x:v>0</x:v>
      </x:c>
      <x:c r="J10" s="36" t="n">
        <x:f>'主原料_毛投入'!J10/'原料与矿料假设'!$E$10/'原料与矿料假设'!$F$10</x:f>
        <x:v>0</x:v>
      </x:c>
      <x:c r="K10" s="36" t="n">
        <x:f>'主原料_毛投入'!K10/'原料与矿料假设'!$E$10/'原料与矿料假设'!$F$10</x:f>
        <x:v>0</x:v>
      </x:c>
      <x:c r="L10" s="36" t="n">
        <x:f>'主原料_毛投入'!L10/'原料与矿料假设'!$E$10/'原料与矿料假设'!$F$10</x:f>
        <x:v>0</x:v>
      </x:c>
      <x:c r="M10" s="36" t="n">
        <x:f>'主原料_毛投入'!M10/'原料与矿料假设'!$E$10/'原料与矿料假设'!$F$10</x:f>
        <x:v>0</x:v>
      </x:c>
      <x:c r="N10" s="36" t="n">
        <x:f>'主原料_毛投入'!N10/'原料与矿料假设'!$E$10/'原料与矿料假设'!$F$10</x:f>
        <x:v>1.2345679012345678</x:v>
      </x:c>
      <x:c r="O10" s="36" t="n">
        <x:f>'主原料_毛投入'!O10/'原料与矿料假设'!$E$10/'原料与矿料假设'!$F$10</x:f>
        <x:v>0</x:v>
      </x:c>
      <x:c r="P10" s="36" t="n">
        <x:f>'主原料_毛投入'!P10/'原料与矿料假设'!$E$10/'原料与矿料假设'!$F$10</x:f>
        <x:v>0</x:v>
      </x:c>
      <x:c r="Q10" s="36" t="n">
        <x:f>'主原料_毛投入'!Q10/'原料与矿料假设'!$E$10/'原料与矿料假设'!$F$10</x:f>
        <x:v>12.345679012345679</x:v>
      </x:c>
      <x:c r="R10" s="36" t="n">
        <x:f>'主原料_毛投入'!R10/'原料与矿料假设'!$E$10/'原料与矿料假设'!$F$10</x:f>
        <x:v>2.4691358024691357</x:v>
      </x:c>
      <x:c r="S10" s="36" t="n">
        <x:f>'主原料_毛投入'!S10/'原料与矿料假设'!$E$10/'原料与矿料假设'!$F$10</x:f>
        <x:v>0</x:v>
      </x:c>
      <x:c r="T10" s="36" t="n">
        <x:f>'主原料_毛投入'!T10/'原料与矿料假设'!$E$10/'原料与矿料假设'!$F$10</x:f>
        <x:v>0</x:v>
      </x:c>
      <x:c r="U10" s="36" t="n">
        <x:f>'主原料_毛投入'!U10/'原料与矿料假设'!$E$10/'原料与矿料假设'!$F$10</x:f>
        <x:v>6.172839506172839</x:v>
      </x:c>
      <x:c r="V10" s="36" t="n">
        <x:f>'主原料_毛投入'!V10/'原料与矿料假设'!$E$10/'原料与矿料假设'!$F$10</x:f>
        <x:v>0</x:v>
      </x:c>
      <x:c r="W10" s="36" t="n">
        <x:f>'主原料_毛投入'!W10/'原料与矿料假设'!$E$10/'原料与矿料假设'!$F$10</x:f>
        <x:v>0</x:v>
      </x:c>
      <x:c r="X10" s="36" t="n">
        <x:f>'主原料_毛投入'!X10/'原料与矿料假设'!$E$10/'原料与矿料假设'!$F$10</x:f>
        <x:v>0</x:v>
      </x:c>
      <x:c r="Y10" s="36" t="n">
        <x:f>'主原料_毛投入'!Y10/'原料与矿料假设'!$E$10/'原料与矿料假设'!$F$10</x:f>
        <x:v>0</x:v>
      </x:c>
      <x:c r="Z10" s="36" t="n">
        <x:f>'主原料_毛投入'!Z10/'原料与矿料假设'!$E$10/'原料与矿料假设'!$F$10</x:f>
        <x:v>0</x:v>
      </x:c>
      <x:c r="AA10" s="36" t="n">
        <x:f>'主原料_毛投入'!AA10/'原料与矿料假设'!$E$10/'原料与矿料假设'!$F$10</x:f>
        <x:v>0</x:v>
      </x:c>
      <x:c r="AB10" s="36" t="n">
        <x:f>'主原料_毛投入'!AB10/'原料与矿料假设'!$E$10/'原料与矿料假设'!$F$10</x:f>
        <x:v>0</x:v>
      </x:c>
      <x:c r="AC10" s="36" t="n">
        <x:f>'主原料_毛投入'!AC10/'原料与矿料假设'!$E$10/'原料与矿料假设'!$F$10</x:f>
        <x:v>0</x:v>
      </x:c>
      <x:c r="AD10" s="36" t="n">
        <x:f>'主原料_毛投入'!AD10/'原料与矿料假设'!$E$10/'原料与矿料假设'!$F$10</x:f>
        <x:v>0</x:v>
      </x:c>
      <x:c r="AE10" s="36" t="n">
        <x:f>'主原料_毛投入'!AE10/'原料与矿料假设'!$E$10/'原料与矿料假设'!$F$10</x:f>
        <x:v>0</x:v>
      </x:c>
      <x:c r="AF10" s="36" t="n">
        <x:f>'主原料_毛投入'!AF10/'原料与矿料假设'!$E$10/'原料与矿料假设'!$F$10</x:f>
        <x:v>0</x:v>
      </x:c>
      <x:c r="AG10" s="36" t="n">
        <x:f>'主原料_毛投入'!AG10/'原料与矿料假设'!$E$10/'原料与矿料假设'!$F$10</x:f>
        <x:v>0</x:v>
      </x:c>
      <x:c r="AH10" s="36" t="n">
        <x:f>'主原料_毛投入'!AH10/'原料与矿料假设'!$E$10/'原料与矿料假设'!$F$10</x:f>
        <x:v>1.2962962962962963</x:v>
      </x:c>
      <x:c r="AI10" s="36" t="n">
        <x:f>'主原料_毛投入'!AI10/'原料与矿料假设'!$E$10/'原料与矿料假设'!$F$10</x:f>
        <x:v>0</x:v>
      </x:c>
      <x:c r="AJ10" s="36" t="n">
        <x:f>'主原料_毛投入'!AJ10/'原料与矿料假设'!$E$10/'原料与矿料假设'!$F$10</x:f>
        <x:v>2.4691358024691357</x:v>
      </x:c>
      <x:c r="AK10" s="36" t="n">
        <x:f>'主原料_毛投入'!AK10/'原料与矿料假设'!$E$10/'原料与矿料假设'!$F$10</x:f>
        <x:v>21.14327212366428</x:v>
      </x:c>
      <x:c r="AL10" s="36" t="n">
        <x:f>'主原料_毛投入'!AL10/'原料与矿料假设'!$E$10/'原料与矿料假设'!$F$10</x:f>
        <x:v>0</x:v>
      </x:c>
      <x:c r="AM10" s="36" t="n">
        <x:f>'主原料_毛投入'!AM10/'原料与矿料假设'!$E$10/'原料与矿料假设'!$F$10</x:f>
        <x:v>6.172839506172839</x:v>
      </x:c>
      <x:c r="AN10" s="36" t="n">
        <x:f>'主原料_毛投入'!AN10/'原料与矿料假设'!$E$10/'原料与矿料假设'!$F$10</x:f>
        <x:v>0</x:v>
      </x:c>
      <x:c r="AO10" s="36" t="n">
        <x:f>'主原料_毛投入'!AO10/'原料与矿料假设'!$E$10/'原料与矿料假设'!$F$10</x:f>
        <x:v>0</x:v>
      </x:c>
      <x:c r="AP10" s="36" t="n">
        <x:f>'主原料_毛投入'!AP10/'原料与矿料假设'!$E$10/'原料与矿料假设'!$F$10</x:f>
        <x:v>0</x:v>
      </x:c>
      <x:c r="AQ10" s="36" t="n">
        <x:f>'主原料_毛投入'!AQ10/'原料与矿料假设'!$E$10/'原料与矿料假设'!$F$10</x:f>
        <x:v>0</x:v>
      </x:c>
      <x:c r="AR10" s="36" t="n">
        <x:f>'主原料_毛投入'!AR10/'原料与矿料假设'!$E$10/'原料与矿料假设'!$F$10</x:f>
        <x:v>1.2345679012345678</x:v>
      </x:c>
    </x:row>
    <x:row r="11" ht="40" customHeight="1">
      <x:c r="A11" s="22" t="str">
        <x:v>R06</x:v>
      </x:c>
      <x:c r="B11" s="22" t="str">
        <x:v>富硅原料SiO₂当量</x:v>
      </x:c>
      <x:c r="C11" s="22" t="str">
        <x:v>kg情景进料</x:v>
      </x:c>
      <x:c r="D11" s="36" t="n">
        <x:f>'主原料_毛投入'!D11/'原料与矿料假设'!$E$11/'原料与矿料假设'!$F$11</x:f>
        <x:v>0</x:v>
      </x:c>
      <x:c r="E11" s="36" t="n">
        <x:f>'主原料_毛投入'!E11/'原料与矿料假设'!$E$11/'原料与矿料假设'!$F$11</x:f>
        <x:v>0</x:v>
      </x:c>
      <x:c r="F11" s="36" t="n">
        <x:f>'主原料_毛投入'!F11/'原料与矿料假设'!$E$11/'原料与矿料假设'!$F$11</x:f>
        <x:v>0</x:v>
      </x:c>
      <x:c r="G11" s="36" t="n">
        <x:f>'主原料_毛投入'!G11/'原料与矿料假设'!$E$11/'原料与矿料假设'!$F$11</x:f>
        <x:v>14.294996751137099</x:v>
      </x:c>
      <x:c r="H11" s="36" t="n">
        <x:f>'主原料_毛投入'!H11/'原料与矿料假设'!$E$11/'原料与矿料假设'!$F$11</x:f>
        <x:v>0</x:v>
      </x:c>
      <x:c r="I11" s="36" t="n">
        <x:f>'主原料_毛投入'!I11/'原料与矿料假设'!$E$11/'原料与矿料假设'!$F$11</x:f>
        <x:v>0</x:v>
      </x:c>
      <x:c r="J11" s="36" t="n">
        <x:f>'主原料_毛投入'!J11/'原料与矿料假设'!$E$11/'原料与矿料假设'!$F$11</x:f>
        <x:v>0</x:v>
      </x:c>
      <x:c r="K11" s="36" t="n">
        <x:f>'主原料_毛投入'!K11/'原料与矿料假设'!$E$11/'原料与矿料假设'!$F$11</x:f>
        <x:v>1.0471567844961955</x:v>
      </x:c>
      <x:c r="L11" s="36" t="n">
        <x:f>'主原料_毛投入'!L11/'原料与矿料假设'!$E$11/'原料与矿料假设'!$F$11</x:f>
        <x:v>0</x:v>
      </x:c>
      <x:c r="M11" s="36" t="n">
        <x:f>'主原料_毛投入'!M11/'原料与矿料假设'!$E$11/'原料与矿料假设'!$F$11</x:f>
        <x:v>0</x:v>
      </x:c>
      <x:c r="N11" s="36" t="n">
        <x:f>'主原料_毛投入'!N11/'原料与矿料假设'!$E$11/'原料与矿料假设'!$F$11</x:f>
        <x:v>0.20943135689923909</x:v>
      </x:c>
      <x:c r="O11" s="36" t="n">
        <x:f>'主原料_毛投入'!O11/'原料与矿料假设'!$E$11/'原料与矿料假设'!$F$11</x:f>
        <x:v>0.7544882580467606</x:v>
      </x:c>
      <x:c r="P11" s="36" t="n">
        <x:f>'主原料_毛投入'!P11/'原料与矿料假设'!$E$11/'原料与矿料假设'!$F$11</x:f>
        <x:v>0.20943135689923909</x:v>
      </x:c>
      <x:c r="Q11" s="36" t="n">
        <x:f>'主原料_毛投入'!Q11/'原料与矿料假设'!$E$11/'原料与矿料假设'!$F$11</x:f>
        <x:v>0</x:v>
      </x:c>
      <x:c r="R11" s="36" t="n">
        <x:f>'主原料_毛投入'!R11/'原料与矿料假设'!$E$11/'原料与矿料假设'!$F$11</x:f>
        <x:v>0</x:v>
      </x:c>
      <x:c r="S11" s="36" t="n">
        <x:f>'主原料_毛投入'!S11/'原料与矿料假设'!$E$11/'原料与矿料假设'!$F$11</x:f>
        <x:v>1.8231235514423796</x:v>
      </x:c>
      <x:c r="T11" s="36" t="n">
        <x:f>'主原料_毛投入'!T11/'原料与矿料假设'!$E$11/'原料与矿料假设'!$F$11</x:f>
        <x:v>5.591804513105797</x:v>
      </x:c>
      <x:c r="U11" s="36" t="n">
        <x:f>'主原料_毛投入'!U11/'原料与矿料假设'!$E$11/'原料与矿料假设'!$F$11</x:f>
        <x:v>14.504428108036338</x:v>
      </x:c>
      <x:c r="V11" s="36" t="n">
        <x:f>'主原料_毛投入'!V11/'原料与矿料假设'!$E$11/'原料与矿料假设'!$F$11</x:f>
        <x:v>0.03141470353488586</x:v>
      </x:c>
      <x:c r="W11" s="36" t="n">
        <x:f>'主原料_毛投入'!W11/'原料与矿料假设'!$E$11/'原料与矿料假设'!$F$11</x:f>
        <x:v>0</x:v>
      </x:c>
      <x:c r="X11" s="36" t="n">
        <x:f>'主原料_毛投入'!X11/'原料与矿料假设'!$E$11/'原料与矿料假设'!$F$11</x:f>
        <x:v>0</x:v>
      </x:c>
      <x:c r="Y11" s="36" t="n">
        <x:f>'主原料_毛投入'!Y11/'原料与矿料假设'!$E$11/'原料与矿料假设'!$F$11</x:f>
        <x:v>0</x:v>
      </x:c>
      <x:c r="Z11" s="36" t="n">
        <x:f>'主原料_毛投入'!Z11/'原料与矿料假设'!$E$11/'原料与矿料假设'!$F$11</x:f>
        <x:v>0</x:v>
      </x:c>
      <x:c r="AA11" s="36" t="n">
        <x:f>'主原料_毛投入'!AA11/'原料与矿料假设'!$E$11/'原料与矿料假设'!$F$11</x:f>
        <x:v>0</x:v>
      </x:c>
      <x:c r="AB11" s="36" t="n">
        <x:f>'主原料_毛投入'!AB11/'原料与矿料假设'!$E$11/'原料与矿料假设'!$F$11</x:f>
        <x:v>0</x:v>
      </x:c>
      <x:c r="AC11" s="36" t="n">
        <x:f>'主原料_毛投入'!AC11/'原料与矿料假设'!$E$11/'原料与矿料假设'!$F$11</x:f>
        <x:v>0</x:v>
      </x:c>
      <x:c r="AD11" s="36" t="n">
        <x:f>'主原料_毛投入'!AD11/'原料与矿料假设'!$E$11/'原料与矿料假设'!$F$11</x:f>
        <x:v>0</x:v>
      </x:c>
      <x:c r="AE11" s="36" t="n">
        <x:f>'主原料_毛投入'!AE11/'原料与矿料假设'!$E$11/'原料与矿料假设'!$F$11</x:f>
        <x:v>0</x:v>
      </x:c>
      <x:c r="AF11" s="36" t="n">
        <x:f>'主原料_毛投入'!AF11/'原料与矿料假设'!$E$11/'原料与矿料假设'!$F$11</x:f>
        <x:v>0</x:v>
      </x:c>
      <x:c r="AG11" s="36" t="n">
        <x:f>'主原料_毛投入'!AG11/'原料与矿料假设'!$E$11/'原料与矿料假设'!$F$11</x:f>
        <x:v>0</x:v>
      </x:c>
      <x:c r="AH11" s="36" t="n">
        <x:f>'主原料_毛投入'!AH11/'原料与矿料假设'!$E$11/'原料与矿料假设'!$F$11</x:f>
        <x:v>0.010471567844961957</x:v>
      </x:c>
      <x:c r="AI11" s="36" t="n">
        <x:f>'主原料_毛投入'!AI11/'原料与矿料假设'!$E$11/'原料与矿料假设'!$F$11</x:f>
        <x:v>13.740327499812791</x:v>
      </x:c>
      <x:c r="AJ11" s="36" t="n">
        <x:f>'主原料_毛投入'!AJ11/'原料与矿料假设'!$E$11/'原料与矿料假设'!$F$11</x:f>
        <x:v>7.252214054018169</x:v>
      </x:c>
      <x:c r="AK11" s="36" t="n">
        <x:f>'主原料_毛投入'!AK11/'原料与矿料假设'!$E$11/'原料与矿料假设'!$F$11</x:f>
        <x:v>0</x:v>
      </x:c>
      <x:c r="AL11" s="36" t="n">
        <x:f>'主原料_毛投入'!AL11/'原料与矿料假设'!$E$11/'原料与矿料假设'!$F$11</x:f>
        <x:v>0.20943135689923909</x:v>
      </x:c>
      <x:c r="AM11" s="36" t="n">
        <x:f>'主原料_毛投入'!AM11/'原料与矿料假设'!$E$11/'原料与矿料假设'!$F$11</x:f>
        <x:v>0.3141470353488586</x:v>
      </x:c>
      <x:c r="AN11" s="36" t="n">
        <x:f>'主原料_毛投入'!AN11/'原料与矿料假设'!$E$11/'原料与矿料假设'!$F$11</x:f>
        <x:v>0</x:v>
      </x:c>
      <x:c r="AO11" s="36" t="n">
        <x:f>'主原料_毛投入'!AO11/'原料与矿料假设'!$E$11/'原料与矿料假设'!$F$11</x:f>
        <x:v>0</x:v>
      </x:c>
      <x:c r="AP11" s="36" t="n">
        <x:f>'主原料_毛投入'!AP11/'原料与矿料假设'!$E$11/'原料与矿料假设'!$F$11</x:f>
        <x:v>0</x:v>
      </x:c>
      <x:c r="AQ11" s="36" t="n">
        <x:f>'主原料_毛投入'!AQ11/'原料与矿料假设'!$E$11/'原料与矿料假设'!$F$11</x:f>
        <x:v>0</x:v>
      </x:c>
      <x:c r="AR11" s="36" t="n">
        <x:f>'主原料_毛投入'!AR11/'原料与矿料假设'!$E$11/'原料与矿料假设'!$F$11</x:f>
        <x:v>0.3141470353488586</x:v>
      </x:c>
    </x:row>
    <x:row r="12" ht="40" customHeight="1">
      <x:c r="A12" s="22" t="str">
        <x:v>R07</x:v>
      </x:c>
      <x:c r="B12" s="22" t="str">
        <x:v>铁矿Fe₂O₃当量</x:v>
      </x:c>
      <x:c r="C12" s="22" t="str">
        <x:v>kg情景进料</x:v>
      </x:c>
      <x:c r="D12" s="36" t="n">
        <x:f>'主原料_毛投入'!D12/'原料与矿料假设'!$E$12/'原料与矿料假设'!$F$12</x:f>
        <x:v>0</x:v>
      </x:c>
      <x:c r="E12" s="36" t="n">
        <x:f>'主原料_毛投入'!E12/'原料与矿料假设'!$E$12/'原料与矿料假设'!$F$12</x:f>
        <x:v>0</x:v>
      </x:c>
      <x:c r="F12" s="36" t="n">
        <x:f>'主原料_毛投入'!F12/'原料与矿料假设'!$E$12/'原料与矿料假设'!$F$12</x:f>
        <x:v>0</x:v>
      </x:c>
      <x:c r="G12" s="36" t="n">
        <x:f>'主原料_毛投入'!G12/'原料与矿料假设'!$E$12/'原料与矿料假设'!$F$12</x:f>
        <x:v>0</x:v>
      </x:c>
      <x:c r="H12" s="36" t="n">
        <x:f>'主原料_毛投入'!H12/'原料与矿料假设'!$E$12/'原料与矿料假设'!$F$12</x:f>
        <x:v>5.595586734290816</x:v>
      </x:c>
      <x:c r="I12" s="36" t="n">
        <x:f>'主原料_毛投入'!I12/'原料与矿料假设'!$E$12/'原料与矿料假设'!$F$12</x:f>
        <x:v>0</x:v>
      </x:c>
      <x:c r="J12" s="36" t="n">
        <x:f>'主原料_毛投入'!J12/'原料与矿料假设'!$E$12/'原料与矿料假设'!$F$12</x:f>
        <x:v>0</x:v>
      </x:c>
      <x:c r="K12" s="36" t="n">
        <x:f>'主原料_毛投入'!K12/'原料与矿料假设'!$E$12/'原料与矿料假设'!$F$12</x:f>
        <x:v>0</x:v>
      </x:c>
      <x:c r="L12" s="36" t="n">
        <x:f>'主原料_毛投入'!L12/'原料与矿料假设'!$E$12/'原料与矿料假设'!$F$12</x:f>
        <x:v>0</x:v>
      </x:c>
      <x:c r="M12" s="36" t="n">
        <x:f>'主原料_毛投入'!M12/'原料与矿料假设'!$E$12/'原料与矿料假设'!$F$12</x:f>
        <x:v>5.595586734290816</x:v>
      </x:c>
      <x:c r="N12" s="36" t="n">
        <x:f>'主原料_毛投入'!N12/'原料与矿料假设'!$E$12/'原料与矿料假设'!$F$12</x:f>
        <x:v>67.1470408114898</x:v>
      </x:c>
      <x:c r="O12" s="36" t="n">
        <x:f>'主原料_毛投入'!O12/'原料与矿料假设'!$E$12/'原料与矿料假设'!$F$12</x:f>
        <x:v>55.95586734290816</x:v>
      </x:c>
      <x:c r="P12" s="36" t="n">
        <x:f>'主原料_毛投入'!P12/'原料与矿料假设'!$E$12/'原料与矿料假设'!$F$12</x:f>
        <x:v>335.7352040574489</x:v>
      </x:c>
      <x:c r="Q12" s="36" t="n">
        <x:f>'主原料_毛投入'!Q12/'原料与矿料假设'!$E$12/'原料与矿料假设'!$F$12</x:f>
        <x:v>27.97793367145408</x:v>
      </x:c>
      <x:c r="R12" s="36" t="n">
        <x:f>'主原料_毛投入'!R12/'原料与矿料假设'!$E$12/'原料与矿料假设'!$F$12</x:f>
        <x:v>559.5586734290816</x:v>
      </x:c>
      <x:c r="S12" s="36" t="n">
        <x:f>'主原料_毛投入'!S12/'原料与矿料假设'!$E$12/'原料与矿料假设'!$F$12</x:f>
        <x:v>111.91173468581631</x:v>
      </x:c>
      <x:c r="T12" s="36" t="n">
        <x:f>'主原料_毛投入'!T12/'原料与矿料假设'!$E$12/'原料与矿料假设'!$F$12</x:f>
        <x:v>111.91173468581631</x:v>
      </x:c>
      <x:c r="U12" s="36" t="n">
        <x:f>'主原料_毛投入'!U12/'原料与矿料假设'!$E$12/'原料与矿料假设'!$F$12</x:f>
        <x:v>111.91173468581631</x:v>
      </x:c>
      <x:c r="V12" s="36" t="n">
        <x:f>'主原料_毛投入'!V12/'原料与矿料假设'!$E$12/'原料与矿料假设'!$F$12</x:f>
        <x:v>5.036028060861734</x:v>
      </x:c>
      <x:c r="W12" s="36" t="n">
        <x:f>'主原料_毛投入'!W12/'原料与矿料假设'!$E$12/'原料与矿料假设'!$F$12</x:f>
        <x:v>0</x:v>
      </x:c>
      <x:c r="X12" s="36" t="n">
        <x:f>'主原料_毛投入'!X12/'原料与矿料假设'!$E$12/'原料与矿料假设'!$F$12</x:f>
        <x:v>0</x:v>
      </x:c>
      <x:c r="Y12" s="36" t="n">
        <x:f>'主原料_毛投入'!Y12/'原料与矿料假设'!$E$12/'原料与矿料假设'!$F$12</x:f>
        <x:v>0</x:v>
      </x:c>
      <x:c r="Z12" s="36" t="n">
        <x:f>'主原料_毛投入'!Z12/'原料与矿料假设'!$E$12/'原料与矿料假设'!$F$12</x:f>
        <x:v>0</x:v>
      </x:c>
      <x:c r="AA12" s="36" t="n">
        <x:f>'主原料_毛投入'!AA12/'原料与矿料假设'!$E$12/'原料与矿料假设'!$F$12</x:f>
        <x:v>0</x:v>
      </x:c>
      <x:c r="AB12" s="36" t="n">
        <x:f>'主原料_毛投入'!AB12/'原料与矿料假设'!$E$12/'原料与矿料假设'!$F$12</x:f>
        <x:v>0</x:v>
      </x:c>
      <x:c r="AC12" s="36" t="n">
        <x:f>'主原料_毛投入'!AC12/'原料与矿料假设'!$E$12/'原料与矿料假设'!$F$12</x:f>
        <x:v>0</x:v>
      </x:c>
      <x:c r="AD12" s="36" t="n">
        <x:f>'主原料_毛投入'!AD12/'原料与矿料假设'!$E$12/'原料与矿料假设'!$F$12</x:f>
        <x:v>0</x:v>
      </x:c>
      <x:c r="AE12" s="36" t="n">
        <x:f>'主原料_毛投入'!AE12/'原料与矿料假设'!$E$12/'原料与矿料假设'!$F$12</x:f>
        <x:v>0</x:v>
      </x:c>
      <x:c r="AF12" s="36" t="n">
        <x:f>'主原料_毛投入'!AF12/'原料与矿料假设'!$E$12/'原料与矿料假设'!$F$12</x:f>
        <x:v>0</x:v>
      </x:c>
      <x:c r="AG12" s="36" t="n">
        <x:f>'主原料_毛投入'!AG12/'原料与矿料假设'!$E$12/'原料与矿料假设'!$F$12</x:f>
        <x:v>0</x:v>
      </x:c>
      <x:c r="AH12" s="36" t="n">
        <x:f>'主原料_毛投入'!AH12/'原料与矿料假设'!$E$12/'原料与矿料假设'!$F$12</x:f>
        <x:v>31.33528571202857</x:v>
      </x:c>
      <x:c r="AI12" s="36" t="n">
        <x:f>'主原料_毛投入'!AI12/'原料与矿料假设'!$E$12/'原料与矿料假设'!$F$12</x:f>
        <x:v>0</x:v>
      </x:c>
      <x:c r="AJ12" s="36" t="n">
        <x:f>'主原料_毛投入'!AJ12/'原料与矿料假设'!$E$12/'原料与矿料假设'!$F$12</x:f>
        <x:v>33.5735204057449</x:v>
      </x:c>
      <x:c r="AK12" s="36" t="n">
        <x:f>'主原料_毛投入'!AK12/'原料与矿料假设'!$E$12/'原料与矿料假设'!$F$12</x:f>
        <x:v>11.191173468581631</x:v>
      </x:c>
      <x:c r="AL12" s="36" t="n">
        <x:f>'主原料_毛投入'!AL12/'原料与矿料假设'!$E$12/'原料与矿料假设'!$F$12</x:f>
        <x:v>83.93380101436223</x:v>
      </x:c>
      <x:c r="AM12" s="36" t="n">
        <x:f>'主原料_毛投入'!AM12/'原料与矿料假设'!$E$12/'原料与矿料假设'!$F$12</x:f>
        <x:v>167.86760202872446</x:v>
      </x:c>
      <x:c r="AN12" s="36" t="n">
        <x:f>'主原料_毛投入'!AN12/'原料与矿料假设'!$E$12/'原料与矿料假设'!$F$12</x:f>
        <x:v>0</x:v>
      </x:c>
      <x:c r="AO12" s="36" t="n">
        <x:f>'主原料_毛投入'!AO12/'原料与矿料假设'!$E$12/'原料与矿料假设'!$F$12</x:f>
        <x:v>0</x:v>
      </x:c>
      <x:c r="AP12" s="36" t="n">
        <x:f>'主原料_毛投入'!AP12/'原料与矿料假设'!$E$12/'原料与矿料假设'!$F$12</x:f>
        <x:v>0</x:v>
      </x:c>
      <x:c r="AQ12" s="36" t="n">
        <x:f>'主原料_毛投入'!AQ12/'原料与矿料假设'!$E$12/'原料与矿料假设'!$F$12</x:f>
        <x:v>72.77626834779038</x:v>
      </x:c>
      <x:c r="AR12" s="36" t="n">
        <x:f>'主原料_毛投入'!AR12/'原料与矿料假设'!$E$12/'原料与矿料假设'!$F$12</x:f>
        <x:v>335.7352040574489</x:v>
      </x:c>
    </x:row>
    <x:row r="13" ht="40" customHeight="1">
      <x:c r="A13" s="22" t="str">
        <x:v>R08</x:v>
      </x:c>
      <x:c r="B13" s="22" t="str">
        <x:v>碳酸钙原料CaCO₃当量</x:v>
      </x:c>
      <x:c r="C13" s="22" t="str">
        <x:v>kg情景进料</x:v>
      </x:c>
      <x:c r="D13" s="36" t="n">
        <x:f>'主原料_毛投入'!D13/'原料与矿料假设'!$E$13/'原料与矿料假设'!$F$13</x:f>
        <x:v>0</x:v>
      </x:c>
      <x:c r="E13" s="36" t="n">
        <x:f>'主原料_毛投入'!E13/'原料与矿料假设'!$E$13/'原料与矿料假设'!$F$13</x:f>
        <x:v>0</x:v>
      </x:c>
      <x:c r="F13" s="36" t="n">
        <x:f>'主原料_毛投入'!F13/'原料与矿料假设'!$E$13/'原料与矿料假设'!$F$13</x:f>
        <x:v>0</x:v>
      </x:c>
      <x:c r="G13" s="36" t="n">
        <x:f>'主原料_毛投入'!G13/'原料与矿料假设'!$E$13/'原料与矿料假设'!$F$13</x:f>
        <x:v>0</x:v>
      </x:c>
      <x:c r="H13" s="36" t="n">
        <x:f>'主原料_毛投入'!H13/'原料与矿料假设'!$E$13/'原料与矿料假设'!$F$13</x:f>
        <x:v>0</x:v>
      </x:c>
      <x:c r="I13" s="36" t="n">
        <x:f>'主原料_毛投入'!I13/'原料与矿料假设'!$E$13/'原料与矿料假设'!$F$13</x:f>
        <x:v>0</x:v>
      </x:c>
      <x:c r="J13" s="36" t="n">
        <x:f>'主原料_毛投入'!J13/'原料与矿料假设'!$E$13/'原料与矿料假设'!$F$13</x:f>
        <x:v>0</x:v>
      </x:c>
      <x:c r="K13" s="36" t="n">
        <x:f>'主原料_毛投入'!K13/'原料与矿料假设'!$E$13/'原料与矿料假设'!$F$13</x:f>
        <x:v>0</x:v>
      </x:c>
      <x:c r="L13" s="36" t="n">
        <x:f>'主原料_毛投入'!L13/'原料与矿料假设'!$E$13/'原料与矿料假设'!$F$13</x:f>
        <x:v>0</x:v>
      </x:c>
      <x:c r="M13" s="36" t="n">
        <x:f>'主原料_毛投入'!M13/'原料与矿料假设'!$E$13/'原料与矿料假设'!$F$13</x:f>
        <x:v>0</x:v>
      </x:c>
      <x:c r="N13" s="36" t="n">
        <x:f>'主原料_毛投入'!N13/'原料与矿料假设'!$E$13/'原料与矿料假设'!$F$13</x:f>
        <x:v>0</x:v>
      </x:c>
      <x:c r="O13" s="36" t="n">
        <x:f>'主原料_毛投入'!O13/'原料与矿料假设'!$E$13/'原料与矿料假设'!$F$13</x:f>
        <x:v>0</x:v>
      </x:c>
      <x:c r="P13" s="36" t="n">
        <x:f>'主原料_毛投入'!P13/'原料与矿料假设'!$E$13/'原料与矿料假设'!$F$13</x:f>
        <x:v>0</x:v>
      </x:c>
      <x:c r="Q13" s="36" t="n">
        <x:f>'主原料_毛投入'!Q13/'原料与矿料假设'!$E$13/'原料与矿料假设'!$F$13</x:f>
        <x:v>0</x:v>
      </x:c>
      <x:c r="R13" s="36" t="n">
        <x:f>'主原料_毛投入'!R13/'原料与矿料假设'!$E$13/'原料与矿料假设'!$F$13</x:f>
        <x:v>0</x:v>
      </x:c>
      <x:c r="S13" s="36" t="n">
        <x:f>'主原料_毛投入'!S13/'原料与矿料假设'!$E$13/'原料与矿料假设'!$F$13</x:f>
        <x:v>0</x:v>
      </x:c>
      <x:c r="T13" s="36" t="n">
        <x:f>'主原料_毛投入'!T13/'原料与矿料假设'!$E$13/'原料与矿料假设'!$F$13</x:f>
        <x:v>0</x:v>
      </x:c>
      <x:c r="U13" s="36" t="n">
        <x:f>'主原料_毛投入'!U13/'原料与矿料假设'!$E$13/'原料与矿料假设'!$F$13</x:f>
        <x:v>0</x:v>
      </x:c>
      <x:c r="V13" s="36" t="n">
        <x:f>'主原料_毛投入'!V13/'原料与矿料假设'!$E$13/'原料与矿料假设'!$F$13</x:f>
        <x:v>0</x:v>
      </x:c>
      <x:c r="W13" s="36" t="n">
        <x:f>'主原料_毛投入'!W13/'原料与矿料假设'!$E$13/'原料与矿料假设'!$F$13</x:f>
        <x:v>0</x:v>
      </x:c>
      <x:c r="X13" s="36" t="n">
        <x:f>'主原料_毛投入'!X13/'原料与矿料假设'!$E$13/'原料与矿料假设'!$F$13</x:f>
        <x:v>0</x:v>
      </x:c>
      <x:c r="Y13" s="36" t="n">
        <x:f>'主原料_毛投入'!Y13/'原料与矿料假设'!$E$13/'原料与矿料假设'!$F$13</x:f>
        <x:v>7.6245078800141375</x:v>
      </x:c>
      <x:c r="Z13" s="36" t="n">
        <x:f>'主原料_毛投入'!Z13/'原料与矿料假设'!$E$13/'原料与矿料假设'!$F$13</x:f>
        <x:v>0</x:v>
      </x:c>
      <x:c r="AA13" s="36" t="n">
        <x:f>'主原料_毛投入'!AA13/'原料与矿料假设'!$E$13/'原料与矿料假设'!$F$13</x:f>
        <x:v>0</x:v>
      </x:c>
      <x:c r="AB13" s="36" t="n">
        <x:f>'主原料_毛投入'!AB13/'原料与矿料假设'!$E$13/'原料与矿料假设'!$F$13</x:f>
        <x:v>0</x:v>
      </x:c>
      <x:c r="AC13" s="36" t="n">
        <x:f>'主原料_毛投入'!AC13/'原料与矿料假设'!$E$13/'原料与矿料假设'!$F$13</x:f>
        <x:v>0</x:v>
      </x:c>
      <x:c r="AD13" s="36" t="n">
        <x:f>'主原料_毛投入'!AD13/'原料与矿料假设'!$E$13/'原料与矿料假设'!$F$13</x:f>
        <x:v>2.202292942119371</x:v>
      </x:c>
      <x:c r="AE13" s="36" t="n">
        <x:f>'主原料_毛投入'!AE13/'原料与矿料假设'!$E$13/'原料与矿料假设'!$F$13</x:f>
        <x:v>5.837668065463619</x:v>
      </x:c>
      <x:c r="AF13" s="36" t="n">
        <x:f>'主原料_毛投入'!AF13/'原料与矿料假设'!$E$13/'原料与矿料假设'!$F$13</x:f>
        <x:v>1.083194855726395</x:v>
      </x:c>
      <x:c r="AG13" s="36" t="n">
        <x:f>'主原料_毛投入'!AG13/'原料与矿料假设'!$E$13/'原料与矿料假设'!$F$13</x:f>
        <x:v>1.7200992736950553</x:v>
      </x:c>
      <x:c r="AH13" s="36" t="n">
        <x:f>'主原料_毛投入'!AH13/'原料与矿料假设'!$E$13/'原料与矿料假设'!$F$13</x:f>
        <x:v>0</x:v>
      </x:c>
      <x:c r="AI13" s="36" t="n">
        <x:f>'主原料_毛投入'!AI13/'原料与矿料假设'!$E$13/'原料与矿料假设'!$F$13</x:f>
        <x:v>0</x:v>
      </x:c>
      <x:c r="AJ13" s="36" t="n">
        <x:f>'主原料_毛投入'!AJ13/'原料与矿料假设'!$E$13/'原料与矿料假设'!$F$13</x:f>
        <x:v>0</x:v>
      </x:c>
      <x:c r="AK13" s="36" t="n">
        <x:f>'主原料_毛投入'!AK13/'原料与矿料假设'!$E$13/'原料与矿料假设'!$F$13</x:f>
        <x:v>0</x:v>
      </x:c>
      <x:c r="AL13" s="36" t="n">
        <x:f>'主原料_毛投入'!AL13/'原料与矿料假设'!$E$13/'原料与矿料假设'!$F$13</x:f>
        <x:v>0</x:v>
      </x:c>
      <x:c r="AM13" s="36" t="n">
        <x:f>'主原料_毛投入'!AM13/'原料与矿料假设'!$E$13/'原料与矿料假设'!$F$13</x:f>
        <x:v>0</x:v>
      </x:c>
      <x:c r="AN13" s="36" t="n">
        <x:f>'主原料_毛投入'!AN13/'原料与矿料假设'!$E$13/'原料与矿料假设'!$F$13</x:f>
        <x:v>0</x:v>
      </x:c>
      <x:c r="AO13" s="36" t="n">
        <x:f>'主原料_毛投入'!AO13/'原料与矿料假设'!$E$13/'原料与矿料假设'!$F$13</x:f>
        <x:v>0</x:v>
      </x:c>
      <x:c r="AP13" s="36" t="n">
        <x:f>'主原料_毛投入'!AP13/'原料与矿料假设'!$E$13/'原料与矿料假设'!$F$13</x:f>
        <x:v>0</x:v>
      </x:c>
      <x:c r="AQ13" s="36" t="n">
        <x:f>'主原料_毛投入'!AQ13/'原料与矿料假设'!$E$13/'原料与矿料假设'!$F$13</x:f>
        <x:v>0</x:v>
      </x:c>
      <x:c r="AR13" s="36" t="n">
        <x:f>'主原料_毛投入'!AR13/'原料与矿料假设'!$E$13/'原料与矿料假设'!$F$13</x:f>
        <x:v>0</x:v>
      </x:c>
    </x:row>
    <x:row r="14" ht="40" customHeight="1">
      <x:c r="A14" s="22" t="str">
        <x:v>R09</x:v>
      </x:c>
      <x:c r="B14" s="22" t="str">
        <x:v>天然硫S</x:v>
      </x:c>
      <x:c r="C14" s="22" t="str">
        <x:v>kg情景进料</x:v>
      </x:c>
      <x:c r="D14" s="36" t="n">
        <x:f>'主原料_毛投入'!D14/'原料与矿料假设'!$E$14/'原料与矿料假设'!$F$14</x:f>
        <x:v>0</x:v>
      </x:c>
      <x:c r="E14" s="36" t="n">
        <x:f>'主原料_毛投入'!E14/'原料与矿料假设'!$E$14/'原料与矿料假设'!$F$14</x:f>
        <x:v>0</x:v>
      </x:c>
      <x:c r="F14" s="36" t="n">
        <x:f>'主原料_毛投入'!F14/'原料与矿料假设'!$E$14/'原料与矿料假设'!$F$14</x:f>
        <x:v>0</x:v>
      </x:c>
      <x:c r="G14" s="36" t="n">
        <x:f>'主原料_毛投入'!G14/'原料与矿料假设'!$E$14/'原料与矿料假设'!$F$14</x:f>
        <x:v>0</x:v>
      </x:c>
      <x:c r="H14" s="36" t="n">
        <x:f>'主原料_毛投入'!H14/'原料与矿料假设'!$E$14/'原料与矿料假设'!$F$14</x:f>
        <x:v>0</x:v>
      </x:c>
      <x:c r="I14" s="36" t="n">
        <x:f>'主原料_毛投入'!I14/'原料与矿料假设'!$E$14/'原料与矿料假设'!$F$14</x:f>
        <x:v>0</x:v>
      </x:c>
      <x:c r="J14" s="36" t="n">
        <x:f>'主原料_毛投入'!J14/'原料与矿料假设'!$E$14/'原料与矿料假设'!$F$14</x:f>
        <x:v>0</x:v>
      </x:c>
      <x:c r="K14" s="36" t="n">
        <x:f>'主原料_毛投入'!K14/'原料与矿料假设'!$E$14/'原料与矿料假设'!$F$14</x:f>
        <x:v>0</x:v>
      </x:c>
      <x:c r="L14" s="36" t="n">
        <x:f>'主原料_毛投入'!L14/'原料与矿料假设'!$E$14/'原料与矿料假设'!$F$14</x:f>
        <x:v>0</x:v>
      </x:c>
      <x:c r="M14" s="36" t="n">
        <x:f>'主原料_毛投入'!M14/'原料与矿料假设'!$E$14/'原料与矿料假设'!$F$14</x:f>
        <x:v>0</x:v>
      </x:c>
      <x:c r="N14" s="36" t="n">
        <x:f>'主原料_毛投入'!N14/'原料与矿料假设'!$E$14/'原料与矿料假设'!$F$14</x:f>
        <x:v>0</x:v>
      </x:c>
      <x:c r="O14" s="36" t="n">
        <x:f>'主原料_毛投入'!O14/'原料与矿料假设'!$E$14/'原料与矿料假设'!$F$14</x:f>
        <x:v>0</x:v>
      </x:c>
      <x:c r="P14" s="36" t="n">
        <x:f>'主原料_毛投入'!P14/'原料与矿料假设'!$E$14/'原料与矿料假设'!$F$14</x:f>
        <x:v>0</x:v>
      </x:c>
      <x:c r="Q14" s="36" t="n">
        <x:f>'主原料_毛投入'!Q14/'原料与矿料假设'!$E$14/'原料与矿料假设'!$F$14</x:f>
        <x:v>0</x:v>
      </x:c>
      <x:c r="R14" s="36" t="n">
        <x:f>'主原料_毛投入'!R14/'原料与矿料假设'!$E$14/'原料与矿料假设'!$F$14</x:f>
        <x:v>0</x:v>
      </x:c>
      <x:c r="S14" s="36" t="n">
        <x:f>'主原料_毛投入'!S14/'原料与矿料假设'!$E$14/'原料与矿料假设'!$F$14</x:f>
        <x:v>0</x:v>
      </x:c>
      <x:c r="T14" s="36" t="n">
        <x:f>'主原料_毛投入'!T14/'原料与矿料假设'!$E$14/'原料与矿料假设'!$F$14</x:f>
        <x:v>0</x:v>
      </x:c>
      <x:c r="U14" s="36" t="n">
        <x:f>'主原料_毛投入'!U14/'原料与矿料假设'!$E$14/'原料与矿料假设'!$F$14</x:f>
        <x:v>0</x:v>
      </x:c>
      <x:c r="V14" s="36" t="n">
        <x:f>'主原料_毛投入'!V14/'原料与矿料假设'!$E$14/'原料与矿料假设'!$F$14</x:f>
        <x:v>0</x:v>
      </x:c>
      <x:c r="W14" s="36" t="n">
        <x:f>'主原料_毛投入'!W14/'原料与矿料假设'!$E$14/'原料与矿料假设'!$F$14</x:f>
        <x:v>0</x:v>
      </x:c>
      <x:c r="X14" s="36" t="n">
        <x:f>'主原料_毛投入'!X14/'原料与矿料假设'!$E$14/'原料与矿料假设'!$F$14</x:f>
        <x:v>0</x:v>
      </x:c>
      <x:c r="Y14" s="36" t="n">
        <x:f>'主原料_毛投入'!Y14/'原料与矿料假设'!$E$14/'原料与矿料假设'!$F$14</x:f>
        <x:v>0</x:v>
      </x:c>
      <x:c r="Z14" s="36" t="n">
        <x:f>'主原料_毛投入'!Z14/'原料与矿料假设'!$E$14/'原料与矿料假设'!$F$14</x:f>
        <x:v>1.0323037664919865</x:v>
      </x:c>
      <x:c r="AA14" s="36" t="n">
        <x:f>'主原料_毛投入'!AA14/'原料与矿料假设'!$E$14/'原料与矿料假设'!$F$14</x:f>
        <x:v>0.40885868996880637</x:v>
      </x:c>
      <x:c r="AB14" s="36" t="n">
        <x:f>'主原料_毛投入'!AB14/'原料与矿料假设'!$E$14/'原料与矿料假设'!$F$14</x:f>
        <x:v>0</x:v>
      </x:c>
      <x:c r="AC14" s="36" t="n">
        <x:f>'主原料_毛投入'!AC14/'原料与矿料假设'!$E$14/'原料与矿料假设'!$F$14</x:f>
        <x:v>0</x:v>
      </x:c>
      <x:c r="AD14" s="36" t="n">
        <x:f>'主原料_毛投入'!AD14/'原料与矿料假设'!$E$14/'原料与矿料假设'!$F$14</x:f>
        <x:v>0.08469281976334968</x:v>
      </x:c>
      <x:c r="AE14" s="36" t="n">
        <x:f>'主原料_毛投入'!AE14/'原料与矿料假设'!$E$14/'原料与矿料假设'!$F$14</x:f>
        <x:v>0.1212804874409442</x:v>
      </x:c>
      <x:c r="AF14" s="36" t="n">
        <x:f>'主原料_毛投入'!AF14/'原料与矿料假设'!$E$14/'原料与矿料假设'!$F$14</x:f>
        <x:v>0.05688969772740162</x:v>
      </x:c>
      <x:c r="AG14" s="36" t="n">
        <x:f>'主原料_毛投入'!AG14/'原料与矿料假设'!$E$14/'原料与矿料假设'!$F$14</x:f>
        <x:v>0.07614453249946906</x:v>
      </x:c>
      <x:c r="AH14" s="36" t="n">
        <x:f>'主原料_毛投入'!AH14/'原料与矿料假设'!$E$14/'原料与矿料假设'!$F$14</x:f>
        <x:v>0</x:v>
      </x:c>
      <x:c r="AI14" s="36" t="n">
        <x:f>'主原料_毛投入'!AI14/'原料与矿料假设'!$E$14/'原料与矿料假设'!$F$14</x:f>
        <x:v>0</x:v>
      </x:c>
      <x:c r="AJ14" s="36" t="n">
        <x:f>'主原料_毛投入'!AJ14/'原料与矿料假设'!$E$14/'原料与矿料假设'!$F$14</x:f>
        <x:v>0</x:v>
      </x:c>
      <x:c r="AK14" s="36" t="n">
        <x:f>'主原料_毛投入'!AK14/'原料与矿料假设'!$E$14/'原料与矿料假设'!$F$14</x:f>
        <x:v>0</x:v>
      </x:c>
      <x:c r="AL14" s="36" t="n">
        <x:f>'主原料_毛投入'!AL14/'原料与矿料假设'!$E$14/'原料与矿料假设'!$F$14</x:f>
        <x:v>0</x:v>
      </x:c>
      <x:c r="AM14" s="36" t="n">
        <x:f>'主原料_毛投入'!AM14/'原料与矿料假设'!$E$14/'原料与矿料假设'!$F$14</x:f>
        <x:v>0</x:v>
      </x:c>
      <x:c r="AN14" s="36" t="n">
        <x:f>'主原料_毛投入'!AN14/'原料与矿料假设'!$E$14/'原料与矿料假设'!$F$14</x:f>
        <x:v>0</x:v>
      </x:c>
      <x:c r="AO14" s="36" t="n">
        <x:f>'主原料_毛投入'!AO14/'原料与矿料假设'!$E$14/'原料与矿料假设'!$F$14</x:f>
        <x:v>0</x:v>
      </x:c>
      <x:c r="AP14" s="36" t="n">
        <x:f>'主原料_毛投入'!AP14/'原料与矿料假设'!$E$14/'原料与矿料假设'!$F$14</x:f>
        <x:v>0</x:v>
      </x:c>
      <x:c r="AQ14" s="36" t="n">
        <x:f>'主原料_毛投入'!AQ14/'原料与矿料假设'!$E$14/'原料与矿料假设'!$F$14</x:f>
        <x:v>0</x:v>
      </x:c>
      <x:c r="AR14" s="36" t="n">
        <x:f>'主原料_毛投入'!AR14/'原料与矿料假设'!$E$14/'原料与矿料假设'!$F$14</x:f>
        <x:v>0</x:v>
      </x:c>
    </x:row>
    <x:row r="15" ht="40" customHeight="1">
      <x:c r="A15" s="22" t="str">
        <x:v>R10</x:v>
      </x:c>
      <x:c r="B15" s="22" t="str">
        <x:v>磷灰石Ca₅(PO₄)₃F当量</x:v>
      </x:c>
      <x:c r="C15" s="22" t="str">
        <x:v>kg情景进料</x:v>
      </x:c>
      <x:c r="D15" s="36" t="n">
        <x:f>'主原料_毛投入'!D15/'原料与矿料假设'!$E$15/'原料与矿料假设'!$F$15</x:f>
        <x:v>0</x:v>
      </x:c>
      <x:c r="E15" s="36" t="n">
        <x:f>'主原料_毛投入'!E15/'原料与矿料假设'!$E$15/'原料与矿料假设'!$F$15</x:f>
        <x:v>0</x:v>
      </x:c>
      <x:c r="F15" s="36" t="n">
        <x:f>'主原料_毛投入'!F15/'原料与矿料假设'!$E$15/'原料与矿料假设'!$F$15</x:f>
        <x:v>0</x:v>
      </x:c>
      <x:c r="G15" s="36" t="n">
        <x:f>'主原料_毛投入'!G15/'原料与矿料假设'!$E$15/'原料与矿料假设'!$F$15</x:f>
        <x:v>0</x:v>
      </x:c>
      <x:c r="H15" s="36" t="n">
        <x:f>'主原料_毛投入'!H15/'原料与矿料假设'!$E$15/'原料与矿料假设'!$F$15</x:f>
        <x:v>0</x:v>
      </x:c>
      <x:c r="I15" s="36" t="n">
        <x:f>'主原料_毛投入'!I15/'原料与矿料假设'!$E$15/'原料与矿料假设'!$F$15</x:f>
        <x:v>0</x:v>
      </x:c>
      <x:c r="J15" s="36" t="n">
        <x:f>'主原料_毛投入'!J15/'原料与矿料假设'!$E$15/'原料与矿料假设'!$F$15</x:f>
        <x:v>0</x:v>
      </x:c>
      <x:c r="K15" s="36" t="n">
        <x:f>'主原料_毛投入'!K15/'原料与矿料假设'!$E$15/'原料与矿料假设'!$F$15</x:f>
        <x:v>0</x:v>
      </x:c>
      <x:c r="L15" s="36" t="n">
        <x:f>'主原料_毛投入'!L15/'原料与矿料假设'!$E$15/'原料与矿料假设'!$F$15</x:f>
        <x:v>0</x:v>
      </x:c>
      <x:c r="M15" s="36" t="n">
        <x:f>'主原料_毛投入'!M15/'原料与矿料假设'!$E$15/'原料与矿料假设'!$F$15</x:f>
        <x:v>0</x:v>
      </x:c>
      <x:c r="N15" s="36" t="n">
        <x:f>'主原料_毛投入'!N15/'原料与矿料假设'!$E$15/'原料与矿料假设'!$F$15</x:f>
        <x:v>0</x:v>
      </x:c>
      <x:c r="O15" s="36" t="n">
        <x:f>'主原料_毛投入'!O15/'原料与矿料假设'!$E$15/'原料与矿料假设'!$F$15</x:f>
        <x:v>0</x:v>
      </x:c>
      <x:c r="P15" s="36" t="n">
        <x:f>'主原料_毛投入'!P15/'原料与矿料假设'!$E$15/'原料与矿料假设'!$F$15</x:f>
        <x:v>0</x:v>
      </x:c>
      <x:c r="Q15" s="36" t="n">
        <x:f>'主原料_毛投入'!Q15/'原料与矿料假设'!$E$15/'原料与矿料假设'!$F$15</x:f>
        <x:v>0</x:v>
      </x:c>
      <x:c r="R15" s="36" t="n">
        <x:f>'主原料_毛投入'!R15/'原料与矿料假设'!$E$15/'原料与矿料假设'!$F$15</x:f>
        <x:v>0</x:v>
      </x:c>
      <x:c r="S15" s="36" t="n">
        <x:f>'主原料_毛投入'!S15/'原料与矿料假设'!$E$15/'原料与矿料假设'!$F$15</x:f>
        <x:v>0</x:v>
      </x:c>
      <x:c r="T15" s="36" t="n">
        <x:f>'主原料_毛投入'!T15/'原料与矿料假设'!$E$15/'原料与矿料假设'!$F$15</x:f>
        <x:v>0</x:v>
      </x:c>
      <x:c r="U15" s="36" t="n">
        <x:f>'主原料_毛投入'!U15/'原料与矿料假设'!$E$15/'原料与矿料假设'!$F$15</x:f>
        <x:v>0</x:v>
      </x:c>
      <x:c r="V15" s="36" t="n">
        <x:f>'主原料_毛投入'!V15/'原料与矿料假设'!$E$15/'原料与矿料假设'!$F$15</x:f>
        <x:v>0</x:v>
      </x:c>
      <x:c r="W15" s="36" t="n">
        <x:f>'主原料_毛投入'!W15/'原料与矿料假设'!$E$15/'原料与矿料假设'!$F$15</x:f>
        <x:v>0</x:v>
      </x:c>
      <x:c r="X15" s="36" t="n">
        <x:f>'主原料_毛投入'!X15/'原料与矿料假设'!$E$15/'原料与矿料假设'!$F$15</x:f>
        <x:v>0</x:v>
      </x:c>
      <x:c r="Y15" s="36" t="n">
        <x:f>'主原料_毛投入'!Y15/'原料与矿料假设'!$E$15/'原料与矿料假设'!$F$15</x:f>
        <x:v>0</x:v>
      </x:c>
      <x:c r="Z15" s="36" t="n">
        <x:f>'主原料_毛投入'!Z15/'原料与矿料假设'!$E$15/'原料与矿料假设'!$F$15</x:f>
        <x:v>104.38683102017163</x:v>
      </x:c>
      <x:c r="AA15" s="36" t="n">
        <x:f>'主原料_毛投入'!AA15/'原料与矿料假设'!$E$15/'原料与矿料假设'!$F$15</x:f>
        <x:v>0</x:v>
      </x:c>
      <x:c r="AB15" s="36" t="n">
        <x:f>'主原料_毛投入'!AB15/'原料与矿料假设'!$E$15/'原料与矿料假设'!$F$15</x:f>
        <x:v>0</x:v>
      </x:c>
      <x:c r="AC15" s="36" t="n">
        <x:f>'主原料_毛投入'!AC15/'原料与矿料假设'!$E$15/'原料与矿料假设'!$F$15</x:f>
        <x:v>0</x:v>
      </x:c>
      <x:c r="AD15" s="36" t="n">
        <x:f>'主原料_毛投入'!AD15/'原料与矿料假设'!$E$15/'原料与矿料假设'!$F$15</x:f>
        <x:v>3.445784704905259</x:v>
      </x:c>
      <x:c r="AE15" s="36" t="n">
        <x:f>'主原料_毛投入'!AE15/'原料与矿料假设'!$E$15/'原料与矿料假设'!$F$15</x:f>
        <x:v>5.814761689527623</x:v>
      </x:c>
      <x:c r="AF15" s="36" t="n">
        <x:f>'主原料_毛投入'!AF15/'原料与矿料假设'!$E$15/'原料与矿料假设'!$F$15</x:f>
        <x:v>2.0674708229431547</x:v>
      </x:c>
      <x:c r="AG15" s="36" t="n">
        <x:f>'主原料_毛投入'!AG15/'原料与矿料假设'!$E$15/'原料与矿料假设'!$F$15</x:f>
        <x:v>2.280298701775539</x:v>
      </x:c>
      <x:c r="AH15" s="36" t="n">
        <x:f>'主原料_毛投入'!AH15/'原料与矿料假设'!$E$15/'原料与矿料假设'!$F$15</x:f>
        <x:v>0</x:v>
      </x:c>
      <x:c r="AI15" s="36" t="n">
        <x:f>'主原料_毛投入'!AI15/'原料与矿料假设'!$E$15/'原料与矿料假设'!$F$15</x:f>
        <x:v>0.0014285714285714288</x:v>
      </x:c>
      <x:c r="AJ15" s="36" t="n">
        <x:f>'主原料_毛投入'!AJ15/'原料与矿料假设'!$E$15/'原料与矿料假设'!$F$15</x:f>
        <x:v>0</x:v>
      </x:c>
      <x:c r="AK15" s="36" t="n">
        <x:f>'主原料_毛投入'!AK15/'原料与矿料假设'!$E$15/'原料与矿料假设'!$F$15</x:f>
        <x:v>0</x:v>
      </x:c>
      <x:c r="AL15" s="36" t="n">
        <x:f>'主原料_毛投入'!AL15/'原料与矿料假设'!$E$15/'原料与矿料假设'!$F$15</x:f>
        <x:v>0</x:v>
      </x:c>
      <x:c r="AM15" s="36" t="n">
        <x:f>'主原料_毛投入'!AM15/'原料与矿料假设'!$E$15/'原料与矿料假设'!$F$15</x:f>
        <x:v>0</x:v>
      </x:c>
      <x:c r="AN15" s="36" t="n">
        <x:f>'主原料_毛投入'!AN15/'原料与矿料假设'!$E$15/'原料与矿料假设'!$F$15</x:f>
        <x:v>0</x:v>
      </x:c>
      <x:c r="AO15" s="36" t="n">
        <x:f>'主原料_毛投入'!AO15/'原料与矿料假设'!$E$15/'原料与矿料假设'!$F$15</x:f>
        <x:v>0</x:v>
      </x:c>
      <x:c r="AP15" s="36" t="n">
        <x:f>'主原料_毛投入'!AP15/'原料与矿料假设'!$E$15/'原料与矿料假设'!$F$15</x:f>
        <x:v>0</x:v>
      </x:c>
      <x:c r="AQ15" s="36" t="n">
        <x:f>'主原料_毛投入'!AQ15/'原料与矿料假设'!$E$15/'原料与矿料假设'!$F$15</x:f>
        <x:v>0</x:v>
      </x:c>
      <x:c r="AR15" s="36" t="n">
        <x:f>'主原料_毛投入'!AR15/'原料与矿料假设'!$E$15/'原料与矿料假设'!$F$15</x:f>
        <x:v>0</x:v>
      </x:c>
    </x:row>
    <x:row r="16" ht="40" customHeight="1">
      <x:c r="A16" s="22" t="str">
        <x:v>R11</x:v>
      </x:c>
      <x:c r="B16" s="22" t="str">
        <x:v>可选钾盐KCl</x:v>
      </x:c>
      <x:c r="C16" s="22" t="str">
        <x:v>kg情景进料</x:v>
      </x:c>
      <x:c r="D16" s="36" t="n">
        <x:f>'主原料_毛投入'!D16/'原料与矿料假设'!$E$16/'原料与矿料假设'!$F$16</x:f>
        <x:v>0</x:v>
      </x:c>
      <x:c r="E16" s="36" t="n">
        <x:f>'主原料_毛投入'!E16/'原料与矿料假设'!$E$16/'原料与矿料假设'!$F$16</x:f>
        <x:v>0</x:v>
      </x:c>
      <x:c r="F16" s="36" t="n">
        <x:f>'主原料_毛投入'!F16/'原料与矿料假设'!$E$16/'原料与矿料假设'!$F$16</x:f>
        <x:v>0</x:v>
      </x:c>
      <x:c r="G16" s="36" t="n">
        <x:f>'主原料_毛投入'!G16/'原料与矿料假设'!$E$16/'原料与矿料假设'!$F$16</x:f>
        <x:v>0</x:v>
      </x:c>
      <x:c r="H16" s="36" t="n">
        <x:f>'主原料_毛投入'!H16/'原料与矿料假设'!$E$16/'原料与矿料假设'!$F$16</x:f>
        <x:v>0</x:v>
      </x:c>
      <x:c r="I16" s="36" t="n">
        <x:f>'主原料_毛投入'!I16/'原料与矿料假设'!$E$16/'原料与矿料假设'!$F$16</x:f>
        <x:v>0</x:v>
      </x:c>
      <x:c r="J16" s="36" t="n">
        <x:f>'主原料_毛投入'!J16/'原料与矿料假设'!$E$16/'原料与矿料假设'!$F$16</x:f>
        <x:v>0</x:v>
      </x:c>
      <x:c r="K16" s="36" t="n">
        <x:f>'主原料_毛投入'!K16/'原料与矿料假设'!$E$16/'原料与矿料假设'!$F$16</x:f>
        <x:v>0</x:v>
      </x:c>
      <x:c r="L16" s="36" t="n">
        <x:f>'主原料_毛投入'!L16/'原料与矿料假设'!$E$16/'原料与矿料假设'!$F$16</x:f>
        <x:v>0</x:v>
      </x:c>
      <x:c r="M16" s="36" t="n">
        <x:f>'主原料_毛投入'!M16/'原料与矿料假设'!$E$16/'原料与矿料假设'!$F$16</x:f>
        <x:v>0</x:v>
      </x:c>
      <x:c r="N16" s="36" t="n">
        <x:f>'主原料_毛投入'!N16/'原料与矿料假设'!$E$16/'原料与矿料假设'!$F$16</x:f>
        <x:v>0</x:v>
      </x:c>
      <x:c r="O16" s="36" t="n">
        <x:f>'主原料_毛投入'!O16/'原料与矿料假设'!$E$16/'原料与矿料假设'!$F$16</x:f>
        <x:v>0</x:v>
      </x:c>
      <x:c r="P16" s="36" t="n">
        <x:f>'主原料_毛投入'!P16/'原料与矿料假设'!$E$16/'原料与矿料假设'!$F$16</x:f>
        <x:v>0</x:v>
      </x:c>
      <x:c r="Q16" s="36" t="n">
        <x:f>'主原料_毛投入'!Q16/'原料与矿料假设'!$E$16/'原料与矿料假设'!$F$16</x:f>
        <x:v>0</x:v>
      </x:c>
      <x:c r="R16" s="36" t="n">
        <x:f>'主原料_毛投入'!R16/'原料与矿料假设'!$E$16/'原料与矿料假设'!$F$16</x:f>
        <x:v>0</x:v>
      </x:c>
      <x:c r="S16" s="36" t="n">
        <x:f>'主原料_毛投入'!S16/'原料与矿料假设'!$E$16/'原料与矿料假设'!$F$16</x:f>
        <x:v>0</x:v>
      </x:c>
      <x:c r="T16" s="36" t="n">
        <x:f>'主原料_毛投入'!T16/'原料与矿料假设'!$E$16/'原料与矿料假设'!$F$16</x:f>
        <x:v>0</x:v>
      </x:c>
      <x:c r="U16" s="36" t="n">
        <x:f>'主原料_毛投入'!U16/'原料与矿料假设'!$E$16/'原料与矿料假设'!$F$16</x:f>
        <x:v>0</x:v>
      </x:c>
      <x:c r="V16" s="36" t="n">
        <x:f>'主原料_毛投入'!V16/'原料与矿料假设'!$E$16/'原料与矿料假设'!$F$16</x:f>
        <x:v>0</x:v>
      </x:c>
      <x:c r="W16" s="36" t="n">
        <x:f>'主原料_毛投入'!W16/'原料与矿料假设'!$E$16/'原料与矿料假设'!$F$16</x:f>
        <x:v>0</x:v>
      </x:c>
      <x:c r="X16" s="36" t="n">
        <x:f>'主原料_毛投入'!X16/'原料与矿料假设'!$E$16/'原料与矿料假设'!$F$16</x:f>
        <x:v>0</x:v>
      </x:c>
      <x:c r="Y16" s="36" t="n">
        <x:f>'主原料_毛投入'!Y16/'原料与矿料假设'!$E$16/'原料与矿料假设'!$F$16</x:f>
        <x:v>0</x:v>
      </x:c>
      <x:c r="Z16" s="36" t="n">
        <x:f>'主原料_毛投入'!Z16/'原料与矿料假设'!$E$16/'原料与矿料假设'!$F$16</x:f>
        <x:v>0</x:v>
      </x:c>
      <x:c r="AA16" s="36" t="n">
        <x:f>'主原料_毛投入'!AA16/'原料与矿料假设'!$E$16/'原料与矿料假设'!$F$16</x:f>
        <x:v>12.223348123079546</x:v>
      </x:c>
      <x:c r="AB16" s="36" t="n">
        <x:f>'主原料_毛投入'!AB16/'原料与矿料假设'!$E$16/'原料与矿料假设'!$F$16</x:f>
        <x:v>0</x:v>
      </x:c>
      <x:c r="AC16" s="36" t="n">
        <x:f>'主原料_毛投入'!AC16/'原料与矿料假设'!$E$16/'原料与矿料假设'!$F$16</x:f>
        <x:v>0</x:v>
      </x:c>
      <x:c r="AD16" s="36" t="n">
        <x:f>'主原料_毛投入'!AD16/'原料与矿料假设'!$E$16/'原料与矿料假设'!$F$16</x:f>
        <x:v>1.5132507894285991</x:v>
      </x:c>
      <x:c r="AE16" s="36" t="n">
        <x:f>'主原料_毛投入'!AE16/'原料与矿料假设'!$E$16/'原料与矿料假设'!$F$16</x:f>
        <x:v>1.906695994680035</x:v>
      </x:c>
      <x:c r="AF16" s="36" t="n">
        <x:f>'主原料_毛投入'!AF16/'原料与矿料假设'!$E$16/'原料与矿料假设'!$F$16</x:f>
        <x:v>1.089540568388591</x:v>
      </x:c>
      <x:c r="AG16" s="36" t="n">
        <x:f>'主原料_毛投入'!AG16/'原料与矿料假设'!$E$16/'原料与矿料假设'!$F$16</x:f>
        <x:v>1.6022655417479288</x:v>
      </x:c>
      <x:c r="AH16" s="36" t="n">
        <x:f>'主原料_毛投入'!AH16/'原料与矿料假设'!$E$16/'原料与矿料假设'!$F$16</x:f>
        <x:v>0</x:v>
      </x:c>
      <x:c r="AI16" s="36" t="n">
        <x:f>'主原料_毛投入'!AI16/'原料与矿料假设'!$E$16/'原料与矿料假设'!$F$16</x:f>
        <x:v>0</x:v>
      </x:c>
      <x:c r="AJ16" s="36" t="n">
        <x:f>'主原料_毛投入'!AJ16/'原料与矿料假设'!$E$16/'原料与矿料假设'!$F$16</x:f>
        <x:v>0</x:v>
      </x:c>
      <x:c r="AK16" s="36" t="n">
        <x:f>'主原料_毛投入'!AK16/'原料与矿料假设'!$E$16/'原料与矿料假设'!$F$16</x:f>
        <x:v>0</x:v>
      </x:c>
      <x:c r="AL16" s="36" t="n">
        <x:f>'主原料_毛投入'!AL16/'原料与矿料假设'!$E$16/'原料与矿料假设'!$F$16</x:f>
        <x:v>9.49087807300088</x:v>
      </x:c>
      <x:c r="AM16" s="36" t="n">
        <x:f>'主原料_毛投入'!AM16/'原料与矿料假设'!$E$16/'原料与矿料假设'!$F$16</x:f>
        <x:v>0</x:v>
      </x:c>
      <x:c r="AN16" s="36" t="n">
        <x:f>'主原料_毛投入'!AN16/'原料与矿料假设'!$E$16/'原料与矿料假设'!$F$16</x:f>
        <x:v>0</x:v>
      </x:c>
      <x:c r="AO16" s="36" t="n">
        <x:f>'主原料_毛投入'!AO16/'原料与矿料假设'!$E$16/'原料与矿料假设'!$F$16</x:f>
        <x:v>0</x:v>
      </x:c>
      <x:c r="AP16" s="36" t="n">
        <x:f>'主原料_毛投入'!AP16/'原料与矿料假设'!$E$16/'原料与矿料假设'!$F$16</x:f>
        <x:v>0</x:v>
      </x:c>
      <x:c r="AQ16" s="36" t="n">
        <x:f>'主原料_毛投入'!AQ16/'原料与矿料假设'!$E$16/'原料与矿料假设'!$F$16</x:f>
        <x:v>37.96351229200352</x:v>
      </x:c>
      <x:c r="AR16" s="36" t="n">
        <x:f>'主原料_毛投入'!AR16/'原料与矿料假设'!$E$16/'原料与矿料假设'!$F$16</x:f>
        <x:v>0</x:v>
      </x:c>
    </x:row>
    <x:row r="17" ht="40" customHeight="1">
      <x:c r="A17" s="22" t="str">
        <x:v>R12</x:v>
      </x:c>
      <x:c r="B17" s="22" t="str">
        <x:v>含水硫酸镁MgSO₄·H₂O当量</x:v>
      </x:c>
      <x:c r="C17" s="22" t="str">
        <x:v>kg情景进料</x:v>
      </x:c>
      <x:c r="D17" s="36" t="n">
        <x:f>'主原料_毛投入'!D17/'原料与矿料假设'!$E$17/'原料与矿料假设'!$F$17</x:f>
        <x:v>0</x:v>
      </x:c>
      <x:c r="E17" s="36" t="n">
        <x:f>'主原料_毛投入'!E17/'原料与矿料假设'!$E$17/'原料与矿料假设'!$F$17</x:f>
        <x:v>0</x:v>
      </x:c>
      <x:c r="F17" s="36" t="n">
        <x:f>'主原料_毛投入'!F17/'原料与矿料假设'!$E$17/'原料与矿料假设'!$F$17</x:f>
        <x:v>0</x:v>
      </x:c>
      <x:c r="G17" s="36" t="n">
        <x:f>'主原料_毛投入'!G17/'原料与矿料假设'!$E$17/'原料与矿料假设'!$F$17</x:f>
        <x:v>0</x:v>
      </x:c>
      <x:c r="H17" s="36" t="n">
        <x:f>'主原料_毛投入'!H17/'原料与矿料假设'!$E$17/'原料与矿料假设'!$F$17</x:f>
        <x:v>0</x:v>
      </x:c>
      <x:c r="I17" s="36" t="n">
        <x:f>'主原料_毛投入'!I17/'原料与矿料假设'!$E$17/'原料与矿料假设'!$F$17</x:f>
        <x:v>0</x:v>
      </x:c>
      <x:c r="J17" s="36" t="n">
        <x:f>'主原料_毛投入'!J17/'原料与矿料假设'!$E$17/'原料与矿料假设'!$F$17</x:f>
        <x:v>0</x:v>
      </x:c>
      <x:c r="K17" s="36" t="n">
        <x:f>'主原料_毛投入'!K17/'原料与矿料假设'!$E$17/'原料与矿料假设'!$F$17</x:f>
        <x:v>0</x:v>
      </x:c>
      <x:c r="L17" s="36" t="n">
        <x:f>'主原料_毛投入'!L17/'原料与矿料假设'!$E$17/'原料与矿料假设'!$F$17</x:f>
        <x:v>0</x:v>
      </x:c>
      <x:c r="M17" s="36" t="n">
        <x:f>'主原料_毛投入'!M17/'原料与矿料假设'!$E$17/'原料与矿料假设'!$F$17</x:f>
        <x:v>0</x:v>
      </x:c>
      <x:c r="N17" s="36" t="n">
        <x:f>'主原料_毛投入'!N17/'原料与矿料假设'!$E$17/'原料与矿料假设'!$F$17</x:f>
        <x:v>0</x:v>
      </x:c>
      <x:c r="O17" s="36" t="n">
        <x:f>'主原料_毛投入'!O17/'原料与矿料假设'!$E$17/'原料与矿料假设'!$F$17</x:f>
        <x:v>0</x:v>
      </x:c>
      <x:c r="P17" s="36" t="n">
        <x:f>'主原料_毛投入'!P17/'原料与矿料假设'!$E$17/'原料与矿料假设'!$F$17</x:f>
        <x:v>0</x:v>
      </x:c>
      <x:c r="Q17" s="36" t="n">
        <x:f>'主原料_毛投入'!Q17/'原料与矿料假设'!$E$17/'原料与矿料假设'!$F$17</x:f>
        <x:v>0</x:v>
      </x:c>
      <x:c r="R17" s="36" t="n">
        <x:f>'主原料_毛投入'!R17/'原料与矿料假设'!$E$17/'原料与矿料假设'!$F$17</x:f>
        <x:v>0</x:v>
      </x:c>
      <x:c r="S17" s="36" t="n">
        <x:f>'主原料_毛投入'!S17/'原料与矿料假设'!$E$17/'原料与矿料假设'!$F$17</x:f>
        <x:v>0</x:v>
      </x:c>
      <x:c r="T17" s="36" t="n">
        <x:f>'主原料_毛投入'!T17/'原料与矿料假设'!$E$17/'原料与矿料假设'!$F$17</x:f>
        <x:v>0</x:v>
      </x:c>
      <x:c r="U17" s="36" t="n">
        <x:f>'主原料_毛投入'!U17/'原料与矿料假设'!$E$17/'原料与矿料假设'!$F$17</x:f>
        <x:v>0</x:v>
      </x:c>
      <x:c r="V17" s="36" t="n">
        <x:f>'主原料_毛投入'!V17/'原料与矿料假设'!$E$17/'原料与矿料假设'!$F$17</x:f>
        <x:v>0</x:v>
      </x:c>
      <x:c r="W17" s="36" t="n">
        <x:f>'主原料_毛投入'!W17/'原料与矿料假设'!$E$17/'原料与矿料假设'!$F$17</x:f>
        <x:v>0</x:v>
      </x:c>
      <x:c r="X17" s="36" t="n">
        <x:f>'主原料_毛投入'!X17/'原料与矿料假设'!$E$17/'原料与矿料假设'!$F$17</x:f>
        <x:v>0</x:v>
      </x:c>
      <x:c r="Y17" s="36" t="n">
        <x:f>'主原料_毛投入'!Y17/'原料与矿料假设'!$E$17/'原料与矿料假设'!$F$17</x:f>
        <x:v>0</x:v>
      </x:c>
      <x:c r="Z17" s="36" t="n">
        <x:f>'主原料_毛投入'!Z17/'原料与矿料假设'!$E$17/'原料与矿料假设'!$F$17</x:f>
        <x:v>0</x:v>
      </x:c>
      <x:c r="AA17" s="36" t="n">
        <x:f>'主原料_毛投入'!AA17/'原料与矿料假设'!$E$17/'原料与矿料假设'!$F$17</x:f>
        <x:v>0</x:v>
      </x:c>
      <x:c r="AB17" s="36" t="n">
        <x:f>'主原料_毛投入'!AB17/'原料与矿料假设'!$E$17/'原料与矿料假设'!$F$17</x:f>
        <x:v>3.509003270227942</x:v>
      </x:c>
      <x:c r="AC17" s="36" t="n">
        <x:f>'主原料_毛投入'!AC17/'原料与矿料假设'!$E$17/'原料与矿料假设'!$F$17</x:f>
        <x:v>0</x:v>
      </x:c>
      <x:c r="AD17" s="36" t="n">
        <x:f>'主原料_毛投入'!AD17/'原料与矿料假设'!$E$17/'原料与矿料假设'!$F$17</x:f>
        <x:v>0.2372214222039361</x:v>
      </x:c>
      <x:c r="AE17" s="36" t="n">
        <x:f>'主原料_毛投入'!AE17/'原料与矿料假设'!$E$17/'原料与矿料假设'!$F$17</x:f>
        <x:v>0.3558321333059041</x:v>
      </x:c>
      <x:c r="AF17" s="36" t="n">
        <x:f>'主原料_毛投入'!AF17/'原料与矿料假设'!$E$17/'原料与矿料假设'!$F$17</x:f>
        <x:v>0.14233285332236162</x:v>
      </x:c>
      <x:c r="AG17" s="36" t="n">
        <x:f>'主原料_毛投入'!AG17/'原料与矿料假设'!$E$17/'原料与矿料假设'!$F$17</x:f>
        <x:v>0.20931301959170834</x:v>
      </x:c>
      <x:c r="AH17" s="36" t="n">
        <x:f>'主原料_毛投入'!AH17/'原料与矿料假设'!$E$17/'原料与矿料假设'!$F$17</x:f>
        <x:v>0</x:v>
      </x:c>
      <x:c r="AI17" s="36" t="n">
        <x:f>'主原料_毛投入'!AI17/'原料与矿料假设'!$E$17/'原料与矿料假设'!$F$17</x:f>
        <x:v>0</x:v>
      </x:c>
      <x:c r="AJ17" s="36" t="n">
        <x:f>'主原料_毛投入'!AJ17/'原料与矿料假设'!$E$17/'原料与矿料假设'!$F$17</x:f>
        <x:v>0</x:v>
      </x:c>
      <x:c r="AK17" s="36" t="n">
        <x:f>'主原料_毛投入'!AK17/'原料与矿料假设'!$E$17/'原料与矿料假设'!$F$17</x:f>
        <x:v>0</x:v>
      </x:c>
      <x:c r="AL17" s="36" t="n">
        <x:f>'主原料_毛投入'!AL17/'原料与矿料假设'!$E$17/'原料与矿料假设'!$F$17</x:f>
        <x:v>0</x:v>
      </x:c>
      <x:c r="AM17" s="36" t="n">
        <x:f>'主原料_毛投入'!AM17/'原料与矿料假设'!$E$17/'原料与矿料假设'!$F$17</x:f>
        <x:v>0</x:v>
      </x:c>
      <x:c r="AN17" s="36" t="n">
        <x:f>'主原料_毛投入'!AN17/'原料与矿料假设'!$E$17/'原料与矿料假设'!$F$17</x:f>
        <x:v>0</x:v>
      </x:c>
      <x:c r="AO17" s="36" t="n">
        <x:f>'主原料_毛投入'!AO17/'原料与矿料假设'!$E$17/'原料与矿料假设'!$F$17</x:f>
        <x:v>0</x:v>
      </x:c>
      <x:c r="AP17" s="36" t="n">
        <x:f>'主原料_毛投入'!AP17/'原料与矿料假设'!$E$17/'原料与矿料假设'!$F$17</x:f>
        <x:v>0</x:v>
      </x:c>
      <x:c r="AQ17" s="36" t="n">
        <x:f>'主原料_毛投入'!AQ17/'原料与矿料假设'!$E$17/'原料与矿料假设'!$F$17</x:f>
        <x:v>0</x:v>
      </x:c>
      <x:c r="AR17" s="36" t="n">
        <x:f>'主原料_毛投入'!AR17/'原料与矿料假设'!$E$17/'原料与矿料假设'!$F$17</x:f>
        <x:v>0</x:v>
      </x:c>
    </x:row>
    <x:row r="18" ht="40" customHeight="1">
      <x:c r="A18" s="22" t="str">
        <x:v>R13</x:v>
      </x:c>
      <x:c r="B18" s="22" t="str">
        <x:v>氯化钠NaCl</x:v>
      </x:c>
      <x:c r="C18" s="22" t="str">
        <x:v>kg情景进料</x:v>
      </x:c>
      <x:c r="D18" s="36" t="n">
        <x:f>'主原料_毛投入'!D18/'原料与矿料假设'!$E$18/'原料与矿料假设'!$F$18</x:f>
        <x:v>0</x:v>
      </x:c>
      <x:c r="E18" s="36" t="n">
        <x:f>'主原料_毛投入'!E18/'原料与矿料假设'!$E$18/'原料与矿料假设'!$F$18</x:f>
        <x:v>0</x:v>
      </x:c>
      <x:c r="F18" s="36" t="n">
        <x:f>'主原料_毛投入'!F18/'原料与矿料假设'!$E$18/'原料与矿料假设'!$F$18</x:f>
        <x:v>0</x:v>
      </x:c>
      <x:c r="G18" s="36" t="n">
        <x:f>'主原料_毛投入'!G18/'原料与矿料假设'!$E$18/'原料与矿料假设'!$F$18</x:f>
        <x:v>0</x:v>
      </x:c>
      <x:c r="H18" s="36" t="n">
        <x:f>'主原料_毛投入'!H18/'原料与矿料假设'!$E$18/'原料与矿料假设'!$F$18</x:f>
        <x:v>0</x:v>
      </x:c>
      <x:c r="I18" s="36" t="n">
        <x:f>'主原料_毛投入'!I18/'原料与矿料假设'!$E$18/'原料与矿料假设'!$F$18</x:f>
        <x:v>0</x:v>
      </x:c>
      <x:c r="J18" s="36" t="n">
        <x:f>'主原料_毛投入'!J18/'原料与矿料假设'!$E$18/'原料与矿料假设'!$F$18</x:f>
        <x:v>0</x:v>
      </x:c>
      <x:c r="K18" s="36" t="n">
        <x:f>'主原料_毛投入'!K18/'原料与矿料假设'!$E$18/'原料与矿料假设'!$F$18</x:f>
        <x:v>0</x:v>
      </x:c>
      <x:c r="L18" s="36" t="n">
        <x:f>'主原料_毛投入'!L18/'原料与矿料假设'!$E$18/'原料与矿料假设'!$F$18</x:f>
        <x:v>0</x:v>
      </x:c>
      <x:c r="M18" s="36" t="n">
        <x:f>'主原料_毛投入'!M18/'原料与矿料假设'!$E$18/'原料与矿料假设'!$F$18</x:f>
        <x:v>0</x:v>
      </x:c>
      <x:c r="N18" s="36" t="n">
        <x:f>'主原料_毛投入'!N18/'原料与矿料假设'!$E$18/'原料与矿料假设'!$F$18</x:f>
        <x:v>0</x:v>
      </x:c>
      <x:c r="O18" s="36" t="n">
        <x:f>'主原料_毛投入'!O18/'原料与矿料假设'!$E$18/'原料与矿料假设'!$F$18</x:f>
        <x:v>0</x:v>
      </x:c>
      <x:c r="P18" s="36" t="n">
        <x:f>'主原料_毛投入'!P18/'原料与矿料假设'!$E$18/'原料与矿料假设'!$F$18</x:f>
        <x:v>0</x:v>
      </x:c>
      <x:c r="Q18" s="36" t="n">
        <x:f>'主原料_毛投入'!Q18/'原料与矿料假设'!$E$18/'原料与矿料假设'!$F$18</x:f>
        <x:v>0</x:v>
      </x:c>
      <x:c r="R18" s="36" t="n">
        <x:f>'主原料_毛投入'!R18/'原料与矿料假设'!$E$18/'原料与矿料假设'!$F$18</x:f>
        <x:v>0</x:v>
      </x:c>
      <x:c r="S18" s="36" t="n">
        <x:f>'主原料_毛投入'!S18/'原料与矿料假设'!$E$18/'原料与矿料假设'!$F$18</x:f>
        <x:v>0</x:v>
      </x:c>
      <x:c r="T18" s="36" t="n">
        <x:f>'主原料_毛投入'!T18/'原料与矿料假设'!$E$18/'原料与矿料假设'!$F$18</x:f>
        <x:v>0</x:v>
      </x:c>
      <x:c r="U18" s="36" t="n">
        <x:f>'主原料_毛投入'!U18/'原料与矿料假设'!$E$18/'原料与矿料假设'!$F$18</x:f>
        <x:v>0</x:v>
      </x:c>
      <x:c r="V18" s="36" t="n">
        <x:f>'主原料_毛投入'!V18/'原料与矿料假设'!$E$18/'原料与矿料假设'!$F$18</x:f>
        <x:v>0</x:v>
      </x:c>
      <x:c r="W18" s="36" t="n">
        <x:f>'主原料_毛投入'!W18/'原料与矿料假设'!$E$18/'原料与矿料假设'!$F$18</x:f>
        <x:v>0</x:v>
      </x:c>
      <x:c r="X18" s="36" t="n">
        <x:f>'主原料_毛投入'!X18/'原料与矿料假设'!$E$18/'原料与矿料假设'!$F$18</x:f>
        <x:v>0</x:v>
      </x:c>
      <x:c r="Y18" s="36" t="n">
        <x:f>'主原料_毛投入'!Y18/'原料与矿料假设'!$E$18/'原料与矿料假设'!$F$18</x:f>
        <x:v>0</x:v>
      </x:c>
      <x:c r="Z18" s="36" t="n">
        <x:f>'主原料_毛投入'!Z18/'原料与矿料假设'!$E$18/'原料与矿料假设'!$F$18</x:f>
        <x:v>0</x:v>
      </x:c>
      <x:c r="AA18" s="36" t="n">
        <x:f>'主原料_毛投入'!AA18/'原料与矿料假设'!$E$18/'原料与矿料假设'!$F$18</x:f>
        <x:v>0</x:v>
      </x:c>
      <x:c r="AB18" s="36" t="n">
        <x:f>'主原料_毛投入'!AB18/'原料与矿料假设'!$E$18/'原料与矿料假设'!$F$18</x:f>
        <x:v>0</x:v>
      </x:c>
      <x:c r="AC18" s="36" t="n">
        <x:f>'主原料_毛投入'!AC18/'原料与矿料假设'!$E$18/'原料与矿料假设'!$F$18</x:f>
        <x:v>0</x:v>
      </x:c>
      <x:c r="AD18" s="36" t="n">
        <x:f>'主原料_毛投入'!AD18/'原料与矿料假设'!$E$18/'原料与矿料假设'!$F$18</x:f>
        <x:v>0</x:v>
      </x:c>
      <x:c r="AE18" s="36" t="n">
        <x:f>'主原料_毛投入'!AE18/'原料与矿料假设'!$E$18/'原料与矿料假设'!$F$18</x:f>
        <x:v>0</x:v>
      </x:c>
      <x:c r="AF18" s="36" t="n">
        <x:f>'主原料_毛投入'!AF18/'原料与矿料假设'!$E$18/'原料与矿料假设'!$F$18</x:f>
        <x:v>0</x:v>
      </x:c>
      <x:c r="AG18" s="36" t="n">
        <x:f>'主原料_毛投入'!AG18/'原料与矿料假设'!$E$18/'原料与矿料假设'!$F$18</x:f>
        <x:v>0</x:v>
      </x:c>
      <x:c r="AH18" s="36" t="n">
        <x:f>'主原料_毛投入'!AH18/'原料与矿料假设'!$E$18/'原料与矿料假设'!$F$18</x:f>
        <x:v>0</x:v>
      </x:c>
      <x:c r="AI18" s="36" t="n">
        <x:f>'主原料_毛投入'!AI18/'原料与矿料假设'!$E$18/'原料与矿料假设'!$F$18</x:f>
        <x:v>0</x:v>
      </x:c>
      <x:c r="AJ18" s="36" t="n">
        <x:f>'主原料_毛投入'!AJ18/'原料与矿料假设'!$E$18/'原料与矿料假设'!$F$18</x:f>
        <x:v>0</x:v>
      </x:c>
      <x:c r="AK18" s="36" t="n">
        <x:f>'主原料_毛投入'!AK18/'原料与矿料假设'!$E$18/'原料与矿料假设'!$F$18</x:f>
        <x:v>0</x:v>
      </x:c>
      <x:c r="AL18" s="36" t="n">
        <x:f>'主原料_毛投入'!AL18/'原料与矿料假设'!$E$18/'原料与矿料假设'!$F$18</x:f>
        <x:v>0</x:v>
      </x:c>
      <x:c r="AM18" s="36" t="n">
        <x:f>'主原料_毛投入'!AM18/'原料与矿料假设'!$E$18/'原料与矿料假设'!$F$18</x:f>
        <x:v>0</x:v>
      </x:c>
      <x:c r="AN18" s="36" t="n">
        <x:f>'主原料_毛投入'!AN18/'原料与矿料假设'!$E$18/'原料与矿料假设'!$F$18</x:f>
        <x:v>0</x:v>
      </x:c>
      <x:c r="AO18" s="36" t="n">
        <x:f>'主原料_毛投入'!AO18/'原料与矿料假设'!$E$18/'原料与矿料假设'!$F$18</x:f>
        <x:v>0</x:v>
      </x:c>
      <x:c r="AP18" s="36" t="n">
        <x:f>'主原料_毛投入'!AP18/'原料与矿料假设'!$E$18/'原料与矿料假设'!$F$18</x:f>
        <x:v>0</x:v>
      </x:c>
      <x:c r="AQ18" s="36" t="n">
        <x:f>'主原料_毛投入'!AQ18/'原料与矿料假设'!$E$18/'原料与矿料假设'!$F$18</x:f>
        <x:v>0</x:v>
      </x:c>
      <x:c r="AR18" s="36" t="n">
        <x:f>'主原料_毛投入'!AR18/'原料与矿料假设'!$E$18/'原料与矿料假设'!$F$18</x:f>
        <x:v>0</x:v>
      </x:c>
    </x:row>
    <x:row r="19" ht="40" customHeight="1">
      <x:c r="A19" s="22" t="str">
        <x:v>R14</x:v>
      </x:c>
      <x:c r="B19" s="22" t="str">
        <x:v>铜矿CuO当量</x:v>
      </x:c>
      <x:c r="C19" s="22" t="str">
        <x:v>kg情景进料</x:v>
      </x:c>
      <x:c r="D19" s="36" t="n">
        <x:f>'主原料_毛投入'!D19/'原料与矿料假设'!$E$19/'原料与矿料假设'!$F$19</x:f>
        <x:v>0</x:v>
      </x:c>
      <x:c r="E19" s="36" t="n">
        <x:f>'主原料_毛投入'!E19/'原料与矿料假设'!$E$19/'原料与矿料假设'!$F$19</x:f>
        <x:v>0</x:v>
      </x:c>
      <x:c r="F19" s="36" t="n">
        <x:f>'主原料_毛投入'!F19/'原料与矿料假设'!$E$19/'原料与矿料假设'!$F$19</x:f>
        <x:v>0</x:v>
      </x:c>
      <x:c r="G19" s="36" t="n">
        <x:f>'主原料_毛投入'!G19/'原料与矿料假设'!$E$19/'原料与矿料假设'!$F$19</x:f>
        <x:v>0</x:v>
      </x:c>
      <x:c r="H19" s="36" t="n">
        <x:f>'主原料_毛投入'!H19/'原料与矿料假设'!$E$19/'原料与矿料假设'!$F$19</x:f>
        <x:v>0</x:v>
      </x:c>
      <x:c r="I19" s="36" t="n">
        <x:f>'主原料_毛投入'!I19/'原料与矿料假设'!$E$19/'原料与矿料假设'!$F$19</x:f>
        <x:v>156.471296383722</x:v>
      </x:c>
      <x:c r="J19" s="36" t="n">
        <x:f>'主原料_毛投入'!J19/'原料与矿料假设'!$E$19/'原料与矿料假设'!$F$19</x:f>
        <x:v>0</x:v>
      </x:c>
      <x:c r="K19" s="36" t="n">
        <x:f>'主原料_毛投入'!K19/'原料与矿料假设'!$E$19/'原料与矿料假设'!$F$19</x:f>
        <x:v>0</x:v>
      </x:c>
      <x:c r="L19" s="36" t="n">
        <x:f>'主原料_毛投入'!L19/'原料与矿料假设'!$E$19/'原料与矿料假设'!$F$19</x:f>
        <x:v>0</x:v>
      </x:c>
      <x:c r="M19" s="36" t="n">
        <x:f>'主原料_毛投入'!M19/'原料与矿料假设'!$E$19/'原料与矿料假设'!$F$19</x:f>
        <x:v>0</x:v>
      </x:c>
      <x:c r="N19" s="36" t="n">
        <x:f>'主原料_毛投入'!N19/'原料与矿料假设'!$E$19/'原料与矿料假设'!$F$19</x:f>
        <x:v>234.70694457558304</x:v>
      </x:c>
      <x:c r="O19" s="36" t="n">
        <x:f>'主原料_毛投入'!O19/'原料与矿料假设'!$E$19/'原料与矿料假设'!$F$19</x:f>
        <x:v>312.942592767444</x:v>
      </x:c>
      <x:c r="P19" s="36" t="n">
        <x:f>'主原料_毛投入'!P19/'原料与矿料假设'!$E$19/'原料与矿料假设'!$F$19</x:f>
        <x:v>78.235648191861</x:v>
      </x:c>
      <x:c r="Q19" s="36" t="n">
        <x:f>'主原料_毛投入'!Q19/'原料与矿料假设'!$E$19/'原料与矿料假设'!$F$19</x:f>
        <x:v>78.235648191861</x:v>
      </x:c>
      <x:c r="R19" s="36" t="n">
        <x:f>'主原料_毛投入'!R19/'原料与矿料假设'!$E$19/'原料与矿料假设'!$F$19</x:f>
        <x:v>469.4138891511661</x:v>
      </x:c>
      <x:c r="S19" s="36" t="n">
        <x:f>'主原料_毛投入'!S19/'原料与矿料假设'!$E$19/'原料与矿料假设'!$F$19</x:f>
        <x:v>156.471296383722</x:v>
      </x:c>
      <x:c r="T19" s="36" t="n">
        <x:f>'主原料_毛投入'!T19/'原料与矿料假设'!$E$19/'原料与矿料假设'!$F$19</x:f>
        <x:v>312.942592767444</x:v>
      </x:c>
      <x:c r="U19" s="36" t="n">
        <x:f>'主原料_毛投入'!U19/'原料与矿料假设'!$E$19/'原料与矿料假设'!$F$19</x:f>
        <x:v>0</x:v>
      </x:c>
      <x:c r="V19" s="36" t="n">
        <x:f>'主原料_毛投入'!V19/'原料与矿料假设'!$E$19/'原料与矿料假设'!$F$19</x:f>
        <x:v>0</x:v>
      </x:c>
      <x:c r="W19" s="36" t="n">
        <x:f>'主原料_毛投入'!W19/'原料与矿料假设'!$E$19/'原料与矿料假设'!$F$19</x:f>
        <x:v>125.17703710697762</x:v>
      </x:c>
      <x:c r="X19" s="36" t="n">
        <x:f>'主原料_毛投入'!X19/'原料与矿料假设'!$E$19/'原料与矿料假设'!$F$19</x:f>
        <x:v>0</x:v>
      </x:c>
      <x:c r="Y19" s="36" t="n">
        <x:f>'主原料_毛投入'!Y19/'原料与矿料假设'!$E$19/'原料与矿料假设'!$F$19</x:f>
        <x:v>0</x:v>
      </x:c>
      <x:c r="Z19" s="36" t="n">
        <x:f>'主原料_毛投入'!Z19/'原料与矿料假设'!$E$19/'原料与矿料假设'!$F$19</x:f>
        <x:v>0</x:v>
      </x:c>
      <x:c r="AA19" s="36" t="n">
        <x:f>'主原料_毛投入'!AA19/'原料与矿料假设'!$E$19/'原料与矿料假设'!$F$19</x:f>
        <x:v>0</x:v>
      </x:c>
      <x:c r="AB19" s="36" t="n">
        <x:f>'主原料_毛投入'!AB19/'原料与矿料假设'!$E$19/'原料与矿料假设'!$F$19</x:f>
        <x:v>0</x:v>
      </x:c>
      <x:c r="AC19" s="36" t="n">
        <x:f>'主原料_毛投入'!AC19/'原料与矿料假设'!$E$19/'原料与矿料假设'!$F$19</x:f>
        <x:v>0</x:v>
      </x:c>
      <x:c r="AD19" s="36" t="n">
        <x:f>'主原料_毛投入'!AD19/'原料与矿料假设'!$E$19/'原料与矿料假设'!$F$19</x:f>
        <x:v>0</x:v>
      </x:c>
      <x:c r="AE19" s="36" t="n">
        <x:f>'主原料_毛投入'!AE19/'原料与矿料假设'!$E$19/'原料与矿料假设'!$F$19</x:f>
        <x:v>0</x:v>
      </x:c>
      <x:c r="AF19" s="36" t="n">
        <x:f>'主原料_毛投入'!AF19/'原料与矿料假设'!$E$19/'原料与矿料假设'!$F$19</x:f>
        <x:v>0</x:v>
      </x:c>
      <x:c r="AG19" s="36" t="n">
        <x:f>'主原料_毛投入'!AG19/'原料与矿料假设'!$E$19/'原料与矿料假设'!$F$19</x:f>
        <x:v>0</x:v>
      </x:c>
      <x:c r="AH19" s="36" t="n">
        <x:f>'主原料_毛投入'!AH19/'原料与矿料假设'!$E$19/'原料与矿料假设'!$F$19</x:f>
        <x:v>11.735347228779153</x:v>
      </x:c>
      <x:c r="AI19" s="36" t="n">
        <x:f>'主原料_毛投入'!AI19/'原料与矿料假设'!$E$19/'原料与矿料假设'!$F$19</x:f>
        <x:v>21.90598149372108</x:v>
      </x:c>
      <x:c r="AJ19" s="36" t="n">
        <x:f>'主原料_毛投入'!AJ19/'原料与矿料假设'!$E$19/'原料与矿料假设'!$F$19</x:f>
        <x:v>78.235648191861</x:v>
      </x:c>
      <x:c r="AK19" s="36" t="n">
        <x:f>'主原料_毛投入'!AK19/'原料与矿料假设'!$E$19/'原料与矿料假设'!$F$19</x:f>
        <x:v>0</x:v>
      </x:c>
      <x:c r="AL19" s="36" t="n">
        <x:f>'主原料_毛投入'!AL19/'原料与矿料假设'!$E$19/'原料与矿料假设'!$F$19</x:f>
        <x:v>156.471296383722</x:v>
      </x:c>
      <x:c r="AM19" s="36" t="n">
        <x:f>'主原料_毛投入'!AM19/'原料与矿料假设'!$E$19/'原料与矿料假设'!$F$19</x:f>
        <x:v>312.942592767444</x:v>
      </x:c>
      <x:c r="AN19" s="36" t="n">
        <x:f>'主原料_毛投入'!AN19/'原料与矿料假设'!$E$19/'原料与矿料假设'!$F$19</x:f>
        <x:v>0</x:v>
      </x:c>
      <x:c r="AO19" s="36" t="n">
        <x:f>'主原料_毛投入'!AO19/'原料与矿料假设'!$E$19/'原料与矿料假设'!$F$19</x:f>
        <x:v>0</x:v>
      </x:c>
      <x:c r="AP19" s="36" t="n">
        <x:f>'主原料_毛投入'!AP19/'原料与矿料假设'!$E$19/'原料与矿料假设'!$F$19</x:f>
        <x:v>0</x:v>
      </x:c>
      <x:c r="AQ19" s="36" t="n">
        <x:f>'主原料_毛投入'!AQ19/'原料与矿料假设'!$E$19/'原料与矿料假设'!$F$19</x:f>
        <x:v>78.235648191861</x:v>
      </x:c>
      <x:c r="AR19" s="36" t="n">
        <x:f>'主原料_毛投入'!AR19/'原料与矿料假设'!$E$19/'原料与矿料假设'!$F$19</x:f>
        <x:v>625.885185534888</x:v>
      </x:c>
    </x:row>
    <x:row r="20" ht="40" customHeight="1">
      <x:c r="A20" s="22" t="str">
        <x:v>R15</x:v>
      </x:c>
      <x:c r="B20" s="22" t="str">
        <x:v>镍矿NiO当量</x:v>
      </x:c>
      <x:c r="C20" s="22" t="str">
        <x:v>kg情景进料</x:v>
      </x:c>
      <x:c r="D20" s="36" t="n">
        <x:f>'主原料_毛投入'!D20/'原料与矿料假设'!$E$20/'原料与矿料假设'!$F$20</x:f>
        <x:v>0</x:v>
      </x:c>
      <x:c r="E20" s="36" t="n">
        <x:f>'主原料_毛投入'!E20/'原料与矿料假设'!$E$20/'原料与矿料假设'!$F$20</x:f>
        <x:v>0</x:v>
      </x:c>
      <x:c r="F20" s="36" t="n">
        <x:f>'主原料_毛投入'!F20/'原料与矿料假设'!$E$20/'原料与矿料假设'!$F$20</x:f>
        <x:v>0</x:v>
      </x:c>
      <x:c r="G20" s="36" t="n">
        <x:f>'主原料_毛投入'!G20/'原料与矿料假设'!$E$20/'原料与矿料假设'!$F$20</x:f>
        <x:v>0</x:v>
      </x:c>
      <x:c r="H20" s="36" t="n">
        <x:f>'主原料_毛投入'!H20/'原料与矿料假设'!$E$20/'原料与矿料假设'!$F$20</x:f>
        <x:v>0</x:v>
      </x:c>
      <x:c r="I20" s="36" t="n">
        <x:f>'主原料_毛投入'!I20/'原料与矿料假设'!$E$20/'原料与矿料假设'!$F$20</x:f>
        <x:v>0</x:v>
      </x:c>
      <x:c r="J20" s="36" t="n">
        <x:f>'主原料_毛投入'!J20/'原料与矿料假设'!$E$20/'原料与矿料假设'!$F$20</x:f>
        <x:v>0</x:v>
      </x:c>
      <x:c r="K20" s="36" t="n">
        <x:f>'主原料_毛投入'!K20/'原料与矿料假设'!$E$20/'原料与矿料假设'!$F$20</x:f>
        <x:v>0</x:v>
      </x:c>
      <x:c r="L20" s="36" t="n">
        <x:f>'主原料_毛投入'!L20/'原料与矿料假设'!$E$20/'原料与矿料假设'!$F$20</x:f>
        <x:v>0</x:v>
      </x:c>
      <x:c r="M20" s="36" t="n">
        <x:f>'主原料_毛投入'!M20/'原料与矿料假设'!$E$20/'原料与矿料假设'!$F$20</x:f>
        <x:v>0</x:v>
      </x:c>
      <x:c r="N20" s="36" t="n">
        <x:f>'主原料_毛投入'!N20/'原料与矿料假设'!$E$20/'原料与矿料假设'!$F$20</x:f>
        <x:v>0</x:v>
      </x:c>
      <x:c r="O20" s="36" t="n">
        <x:f>'主原料_毛投入'!O20/'原料与矿料假设'!$E$20/'原料与矿料假设'!$F$20</x:f>
        <x:v>0</x:v>
      </x:c>
      <x:c r="P20" s="36" t="n">
        <x:f>'主原料_毛投入'!P20/'原料与矿料假设'!$E$20/'原料与矿料假设'!$F$20</x:f>
        <x:v>0</x:v>
      </x:c>
      <x:c r="Q20" s="36" t="n">
        <x:f>'主原料_毛投入'!Q20/'原料与矿料假设'!$E$20/'原料与矿料假设'!$F$20</x:f>
        <x:v>0</x:v>
      </x:c>
      <x:c r="R20" s="36" t="n">
        <x:f>'主原料_毛投入'!R20/'原料与矿料假设'!$E$20/'原料与矿料假设'!$F$20</x:f>
        <x:v>0</x:v>
      </x:c>
      <x:c r="S20" s="36" t="n">
        <x:f>'主原料_毛投入'!S20/'原料与矿料假设'!$E$20/'原料与矿料假设'!$F$20</x:f>
        <x:v>0</x:v>
      </x:c>
      <x:c r="T20" s="36" t="n">
        <x:f>'主原料_毛投入'!T20/'原料与矿料假设'!$E$20/'原料与矿料假设'!$F$20</x:f>
        <x:v>0</x:v>
      </x:c>
      <x:c r="U20" s="36" t="n">
        <x:f>'主原料_毛投入'!U20/'原料与矿料假设'!$E$20/'原料与矿料假设'!$F$20</x:f>
        <x:v>0</x:v>
      </x:c>
      <x:c r="V20" s="36" t="n">
        <x:f>'主原料_毛投入'!V20/'原料与矿料假设'!$E$20/'原料与矿料假设'!$F$20</x:f>
        <x:v>0</x:v>
      </x:c>
      <x:c r="W20" s="36" t="n">
        <x:f>'主原料_毛投入'!W20/'原料与矿料假设'!$E$20/'原料与矿料假设'!$F$20</x:f>
        <x:v>0</x:v>
      </x:c>
      <x:c r="X20" s="36" t="n">
        <x:f>'主原料_毛投入'!X20/'原料与矿料假设'!$E$20/'原料与矿料假设'!$F$20</x:f>
        <x:v>0</x:v>
      </x:c>
      <x:c r="Y20" s="36" t="n">
        <x:f>'主原料_毛投入'!Y20/'原料与矿料假设'!$E$20/'原料与矿料假设'!$F$20</x:f>
        <x:v>0</x:v>
      </x:c>
      <x:c r="Z20" s="36" t="n">
        <x:f>'主原料_毛投入'!Z20/'原料与矿料假设'!$E$20/'原料与矿料假设'!$F$20</x:f>
        <x:v>0</x:v>
      </x:c>
      <x:c r="AA20" s="36" t="n">
        <x:f>'主原料_毛投入'!AA20/'原料与矿料假设'!$E$20/'原料与矿料假设'!$F$20</x:f>
        <x:v>0</x:v>
      </x:c>
      <x:c r="AB20" s="36" t="n">
        <x:f>'主原料_毛投入'!AB20/'原料与矿料假设'!$E$20/'原料与矿料假设'!$F$20</x:f>
        <x:v>0</x:v>
      </x:c>
      <x:c r="AC20" s="36" t="n">
        <x:f>'主原料_毛投入'!AC20/'原料与矿料假设'!$E$20/'原料与矿料假设'!$F$20</x:f>
        <x:v>0</x:v>
      </x:c>
      <x:c r="AD20" s="36" t="n">
        <x:f>'主原料_毛投入'!AD20/'原料与矿料假设'!$E$20/'原料与矿料假设'!$F$20</x:f>
        <x:v>0</x:v>
      </x:c>
      <x:c r="AE20" s="36" t="n">
        <x:f>'主原料_毛投入'!AE20/'原料与矿料假设'!$E$20/'原料与矿料假设'!$F$20</x:f>
        <x:v>0</x:v>
      </x:c>
      <x:c r="AF20" s="36" t="n">
        <x:f>'主原料_毛投入'!AF20/'原料与矿料假设'!$E$20/'原料与矿料假设'!$F$20</x:f>
        <x:v>0</x:v>
      </x:c>
      <x:c r="AG20" s="36" t="n">
        <x:f>'主原料_毛投入'!AG20/'原料与矿料假设'!$E$20/'原料与矿料假设'!$F$20</x:f>
        <x:v>0</x:v>
      </x:c>
      <x:c r="AH20" s="36" t="n">
        <x:f>'主原料_毛投入'!AH20/'原料与矿料假设'!$E$20/'原料与矿料假设'!$F$20</x:f>
        <x:v>0</x:v>
      </x:c>
      <x:c r="AI20" s="36" t="n">
        <x:f>'主原料_毛投入'!AI20/'原料与矿料假设'!$E$20/'原料与矿料假设'!$F$20</x:f>
        <x:v>0</x:v>
      </x:c>
      <x:c r="AJ20" s="36" t="n">
        <x:f>'主原料_毛投入'!AJ20/'原料与矿料假设'!$E$20/'原料与矿料假设'!$F$20</x:f>
        <x:v>0</x:v>
      </x:c>
      <x:c r="AK20" s="36" t="n">
        <x:f>'主原料_毛投入'!AK20/'原料与矿料假设'!$E$20/'原料与矿料假设'!$F$20</x:f>
        <x:v>0</x:v>
      </x:c>
      <x:c r="AL20" s="36" t="n">
        <x:f>'主原料_毛投入'!AL20/'原料与矿料假设'!$E$20/'原料与矿料假设'!$F$20</x:f>
        <x:v>159.07348406113164</x:v>
      </x:c>
      <x:c r="AM20" s="36" t="n">
        <x:f>'主原料_毛投入'!AM20/'原料与矿料假设'!$E$20/'原料与矿料假设'!$F$20</x:f>
        <x:v>79.53674203056582</x:v>
      </x:c>
      <x:c r="AN20" s="36" t="n">
        <x:f>'主原料_毛投入'!AN20/'原料与矿料假设'!$E$20/'原料与矿料假设'!$F$20</x:f>
        <x:v>0</x:v>
      </x:c>
      <x:c r="AO20" s="36" t="n">
        <x:f>'主原料_毛投入'!AO20/'原料与矿料假设'!$E$20/'原料与矿料假设'!$F$20</x:f>
        <x:v>0</x:v>
      </x:c>
      <x:c r="AP20" s="36" t="n">
        <x:f>'主原料_毛投入'!AP20/'原料与矿料假设'!$E$20/'原料与矿料假设'!$F$20</x:f>
        <x:v>0</x:v>
      </x:c>
      <x:c r="AQ20" s="36" t="n">
        <x:f>'主原料_毛投入'!AQ20/'原料与矿料假设'!$E$20/'原料与矿料假设'!$F$20</x:f>
        <x:v>604.2585781008984</x:v>
      </x:c>
      <x:c r="AR20" s="36" t="n">
        <x:f>'主原料_毛投入'!AR20/'原料与矿料假设'!$E$20/'原料与矿料假设'!$F$20</x:f>
        <x:v>0</x:v>
      </x:c>
    </x:row>
    <x:row r="21" ht="40" customHeight="1">
      <x:c r="A21" s="22" t="str">
        <x:v>R16</x:v>
      </x:c>
      <x:c r="B21" s="22" t="str">
        <x:v>富铝矿Al₂O₃当量</x:v>
      </x:c>
      <x:c r="C21" s="22" t="str">
        <x:v>kg情景进料</x:v>
      </x:c>
      <x:c r="D21" s="36" t="n">
        <x:f>'主原料_毛投入'!D21/'原料与矿料假设'!$E$21/'原料与矿料假设'!$F$21</x:f>
        <x:v>0</x:v>
      </x:c>
      <x:c r="E21" s="36" t="n">
        <x:f>'主原料_毛投入'!E21/'原料与矿料假设'!$E$21/'原料与矿料假设'!$F$21</x:f>
        <x:v>0</x:v>
      </x:c>
      <x:c r="F21" s="36" t="n">
        <x:f>'主原料_毛投入'!F21/'原料与矿料假设'!$E$21/'原料与矿料假设'!$F$21</x:f>
        <x:v>0</x:v>
      </x:c>
      <x:c r="G21" s="36" t="n">
        <x:f>'主原料_毛投入'!G21/'原料与矿料假设'!$E$21/'原料与矿料假设'!$F$21</x:f>
        <x:v>0</x:v>
      </x:c>
      <x:c r="H21" s="36" t="n">
        <x:f>'主原料_毛投入'!H21/'原料与矿料假设'!$E$21/'原料与矿料假设'!$F$21</x:f>
        <x:v>0</x:v>
      </x:c>
      <x:c r="I21" s="36" t="n">
        <x:f>'主原料_毛投入'!I21/'原料与矿料假设'!$E$21/'原料与矿料假设'!$F$21</x:f>
        <x:v>0</x:v>
      </x:c>
      <x:c r="J21" s="36" t="n">
        <x:f>'主原料_毛投入'!J21/'原料与矿料假设'!$E$21/'原料与矿料假设'!$F$21</x:f>
        <x:v>0</x:v>
      </x:c>
      <x:c r="K21" s="36" t="n">
        <x:f>'主原料_毛投入'!K21/'原料与矿料假设'!$E$21/'原料与矿料假设'!$F$21</x:f>
        <x:v>0</x:v>
      </x:c>
      <x:c r="L21" s="36" t="n">
        <x:f>'主原料_毛投入'!L21/'原料与矿料假设'!$E$21/'原料与矿料假设'!$F$21</x:f>
        <x:v>0</x:v>
      </x:c>
      <x:c r="M21" s="36" t="n">
        <x:f>'主原料_毛投入'!M21/'原料与矿料假设'!$E$21/'原料与矿料假设'!$F$21</x:f>
        <x:v>0</x:v>
      </x:c>
      <x:c r="N21" s="36" t="n">
        <x:f>'主原料_毛投入'!N21/'原料与矿料假设'!$E$21/'原料与矿料假设'!$F$21</x:f>
        <x:v>0</x:v>
      </x:c>
      <x:c r="O21" s="36" t="n">
        <x:f>'主原料_毛投入'!O21/'原料与矿料假设'!$E$21/'原料与矿料假设'!$F$21</x:f>
        <x:v>0</x:v>
      </x:c>
      <x:c r="P21" s="36" t="n">
        <x:f>'主原料_毛投入'!P21/'原料与矿料假设'!$E$21/'原料与矿料假设'!$F$21</x:f>
        <x:v>0</x:v>
      </x:c>
      <x:c r="Q21" s="36" t="n">
        <x:f>'主原料_毛投入'!Q21/'原料与矿料假设'!$E$21/'原料与矿料假设'!$F$21</x:f>
        <x:v>0</x:v>
      </x:c>
      <x:c r="R21" s="36" t="n">
        <x:f>'主原料_毛投入'!R21/'原料与矿料假设'!$E$21/'原料与矿料假设'!$F$21</x:f>
        <x:v>0</x:v>
      </x:c>
      <x:c r="S21" s="36" t="n">
        <x:f>'主原料_毛投入'!S21/'原料与矿料假设'!$E$21/'原料与矿料假设'!$F$21</x:f>
        <x:v>0</x:v>
      </x:c>
      <x:c r="T21" s="36" t="n">
        <x:f>'主原料_毛投入'!T21/'原料与矿料假设'!$E$21/'原料与矿料假设'!$F$21</x:f>
        <x:v>0</x:v>
      </x:c>
      <x:c r="U21" s="36" t="n">
        <x:f>'主原料_毛投入'!U21/'原料与矿料假设'!$E$21/'原料与矿料假设'!$F$21</x:f>
        <x:v>0</x:v>
      </x:c>
      <x:c r="V21" s="36" t="n">
        <x:f>'主原料_毛投入'!V21/'原料与矿料假设'!$E$21/'原料与矿料假设'!$F$21</x:f>
        <x:v>0</x:v>
      </x:c>
      <x:c r="W21" s="36" t="n">
        <x:f>'主原料_毛投入'!W21/'原料与矿料假设'!$E$21/'原料与矿料假设'!$F$21</x:f>
        <x:v>0</x:v>
      </x:c>
      <x:c r="X21" s="36" t="n">
        <x:f>'主原料_毛投入'!X21/'原料与矿料假设'!$E$21/'原料与矿料假设'!$F$21</x:f>
        <x:v>0</x:v>
      </x:c>
      <x:c r="Y21" s="36" t="n">
        <x:f>'主原料_毛投入'!Y21/'原料与矿料假设'!$E$21/'原料与矿料假设'!$F$21</x:f>
        <x:v>0</x:v>
      </x:c>
      <x:c r="Z21" s="36" t="n">
        <x:f>'主原料_毛投入'!Z21/'原料与矿料假设'!$E$21/'原料与矿料假设'!$F$21</x:f>
        <x:v>0</x:v>
      </x:c>
      <x:c r="AA21" s="36" t="n">
        <x:f>'主原料_毛投入'!AA21/'原料与矿料假设'!$E$21/'原料与矿料假设'!$F$21</x:f>
        <x:v>0</x:v>
      </x:c>
      <x:c r="AB21" s="36" t="n">
        <x:f>'主原料_毛投入'!AB21/'原料与矿料假设'!$E$21/'原料与矿料假设'!$F$21</x:f>
        <x:v>0</x:v>
      </x:c>
      <x:c r="AC21" s="36" t="n">
        <x:f>'主原料_毛投入'!AC21/'原料与矿料假设'!$E$21/'原料与矿料假设'!$F$21</x:f>
        <x:v>0</x:v>
      </x:c>
      <x:c r="AD21" s="36" t="n">
        <x:f>'主原料_毛投入'!AD21/'原料与矿料假设'!$E$21/'原料与矿料假设'!$F$21</x:f>
        <x:v>0</x:v>
      </x:c>
      <x:c r="AE21" s="36" t="n">
        <x:f>'主原料_毛投入'!AE21/'原料与矿料假设'!$E$21/'原料与矿料假设'!$F$21</x:f>
        <x:v>0</x:v>
      </x:c>
      <x:c r="AF21" s="36" t="n">
        <x:f>'主原料_毛投入'!AF21/'原料与矿料假设'!$E$21/'原料与矿料假设'!$F$21</x:f>
        <x:v>0</x:v>
      </x:c>
      <x:c r="AG21" s="36" t="n">
        <x:f>'主原料_毛投入'!AG21/'原料与矿料假设'!$E$21/'原料与矿料假设'!$F$21</x:f>
        <x:v>0</x:v>
      </x:c>
      <x:c r="AH21" s="36" t="n">
        <x:f>'主原料_毛投入'!AH21/'原料与矿料假设'!$E$21/'原料与矿料假设'!$F$21</x:f>
        <x:v>0</x:v>
      </x:c>
      <x:c r="AI21" s="36" t="n">
        <x:f>'主原料_毛投入'!AI21/'原料与矿料假设'!$E$21/'原料与矿料假设'!$F$21</x:f>
        <x:v>12.848098732488324</x:v>
      </x:c>
      <x:c r="AJ21" s="36" t="n">
        <x:f>'主原料_毛投入'!AJ21/'原料与矿料假设'!$E$21/'原料与矿料假设'!$F$21</x:f>
        <x:v>0</x:v>
      </x:c>
      <x:c r="AK21" s="36" t="n">
        <x:f>'主原料_毛投入'!AK21/'原料与矿料假设'!$E$21/'原料与矿料假设'!$F$21</x:f>
        <x:v>0</x:v>
      </x:c>
      <x:c r="AL21" s="36" t="n">
        <x:f>'主原料_毛投入'!AL21/'原料与矿料假设'!$E$21/'原料与矿料假设'!$F$21</x:f>
        <x:v>0</x:v>
      </x:c>
      <x:c r="AM21" s="36" t="n">
        <x:f>'主原料_毛投入'!AM21/'原料与矿料假设'!$E$21/'原料与矿料假设'!$F$21</x:f>
        <x:v>0</x:v>
      </x:c>
      <x:c r="AN21" s="36" t="n">
        <x:f>'主原料_毛投入'!AN21/'原料与矿料假设'!$E$21/'原料与矿料假设'!$F$21</x:f>
        <x:v>0</x:v>
      </x:c>
      <x:c r="AO21" s="36" t="n">
        <x:f>'主原料_毛投入'!AO21/'原料与矿料假设'!$E$21/'原料与矿料假设'!$F$21</x:f>
        <x:v>0</x:v>
      </x:c>
      <x:c r="AP21" s="36" t="n">
        <x:f>'主原料_毛投入'!AP21/'原料与矿料假设'!$E$21/'原料与矿料假设'!$F$21</x:f>
        <x:v>0</x:v>
      </x:c>
      <x:c r="AQ21" s="36" t="n">
        <x:f>'主原料_毛投入'!AQ21/'原料与矿料假设'!$E$21/'原料与矿料假设'!$F$21</x:f>
        <x:v>0</x:v>
      </x:c>
      <x:c r="AR21" s="36" t="n">
        <x:f>'主原料_毛投入'!AR21/'原料与矿料假设'!$E$21/'原料与矿料假设'!$F$21</x:f>
        <x:v>0</x:v>
      </x:c>
    </x:row>
    <x:row r="22" ht="40" customHeight="1">
      <x:c r="A22" s="22" t="str">
        <x:v>R17</x:v>
      </x:c>
      <x:c r="B22" s="22" t="str">
        <x:v>可选银矿Ag₂S当量</x:v>
      </x:c>
      <x:c r="C22" s="22" t="str">
        <x:v>kg情景进料</x:v>
      </x:c>
      <x:c r="D22" s="36" t="n">
        <x:f>'主原料_毛投入'!D22/'原料与矿料假设'!$E$22/'原料与矿料假设'!$F$22</x:f>
        <x:v>0</x:v>
      </x:c>
      <x:c r="E22" s="36" t="n">
        <x:f>'主原料_毛投入'!E22/'原料与矿料假设'!$E$22/'原料与矿料假设'!$F$22</x:f>
        <x:v>0</x:v>
      </x:c>
      <x:c r="F22" s="36" t="n">
        <x:f>'主原料_毛投入'!F22/'原料与矿料假设'!$E$22/'原料与矿料假设'!$F$22</x:f>
        <x:v>0</x:v>
      </x:c>
      <x:c r="G22" s="36" t="n">
        <x:f>'主原料_毛投入'!G22/'原料与矿料假设'!$E$22/'原料与矿料假设'!$F$22</x:f>
        <x:v>0</x:v>
      </x:c>
      <x:c r="H22" s="36" t="n">
        <x:f>'主原料_毛投入'!H22/'原料与矿料假设'!$E$22/'原料与矿料假设'!$F$22</x:f>
        <x:v>0</x:v>
      </x:c>
      <x:c r="I22" s="36" t="n">
        <x:f>'主原料_毛投入'!I22/'原料与矿料假设'!$E$22/'原料与矿料假设'!$F$22</x:f>
        <x:v>0</x:v>
      </x:c>
      <x:c r="J22" s="36" t="n">
        <x:f>'主原料_毛投入'!J22/'原料与矿料假设'!$E$22/'原料与矿料假设'!$F$22</x:f>
        <x:v>0</x:v>
      </x:c>
      <x:c r="K22" s="36" t="n">
        <x:f>'主原料_毛投入'!K22/'原料与矿料假设'!$E$22/'原料与矿料假设'!$F$22</x:f>
        <x:v>0</x:v>
      </x:c>
      <x:c r="L22" s="36" t="n">
        <x:f>'主原料_毛投入'!L22/'原料与矿料假设'!$E$22/'原料与矿料假设'!$F$22</x:f>
        <x:v>0</x:v>
      </x:c>
      <x:c r="M22" s="36" t="n">
        <x:f>'主原料_毛投入'!M22/'原料与矿料假设'!$E$22/'原料与矿料假设'!$F$22</x:f>
        <x:v>0</x:v>
      </x:c>
      <x:c r="N22" s="36" t="n">
        <x:f>'主原料_毛投入'!N22/'原料与矿料假设'!$E$22/'原料与矿料假设'!$F$22</x:f>
        <x:v>0</x:v>
      </x:c>
      <x:c r="O22" s="36" t="n">
        <x:f>'主原料_毛投入'!O22/'原料与矿料假设'!$E$22/'原料与矿料假设'!$F$22</x:f>
        <x:v>0</x:v>
      </x:c>
      <x:c r="P22" s="36" t="n">
        <x:f>'主原料_毛投入'!P22/'原料与矿料假设'!$E$22/'原料与矿料假设'!$F$22</x:f>
        <x:v>0</x:v>
      </x:c>
      <x:c r="Q22" s="36" t="n">
        <x:f>'主原料_毛投入'!Q22/'原料与矿料假设'!$E$22/'原料与矿料假设'!$F$22</x:f>
        <x:v>0</x:v>
      </x:c>
      <x:c r="R22" s="36" t="n">
        <x:f>'主原料_毛投入'!R22/'原料与矿料假设'!$E$22/'原料与矿料假设'!$F$22</x:f>
        <x:v>0</x:v>
      </x:c>
      <x:c r="S22" s="36" t="n">
        <x:f>'主原料_毛投入'!S22/'原料与矿料假设'!$E$22/'原料与矿料假设'!$F$22</x:f>
        <x:v>0</x:v>
      </x:c>
      <x:c r="T22" s="36" t="n">
        <x:f>'主原料_毛投入'!T22/'原料与矿料假设'!$E$22/'原料与矿料假设'!$F$22</x:f>
        <x:v>0</x:v>
      </x:c>
      <x:c r="U22" s="36" t="n">
        <x:f>'主原料_毛投入'!U22/'原料与矿料假设'!$E$22/'原料与矿料假设'!$F$22</x:f>
        <x:v>0</x:v>
      </x:c>
      <x:c r="V22" s="36" t="n">
        <x:f>'主原料_毛投入'!V22/'原料与矿料假设'!$E$22/'原料与矿料假设'!$F$22</x:f>
        <x:v>0</x:v>
      </x:c>
      <x:c r="W22" s="36" t="n">
        <x:f>'主原料_毛投入'!W22/'原料与矿料假设'!$E$22/'原料与矿料假设'!$F$22</x:f>
        <x:v>0</x:v>
      </x:c>
      <x:c r="X22" s="36" t="n">
        <x:f>'主原料_毛投入'!X22/'原料与矿料假设'!$E$22/'原料与矿料假设'!$F$22</x:f>
        <x:v>0</x:v>
      </x:c>
      <x:c r="Y22" s="36" t="n">
        <x:f>'主原料_毛投入'!Y22/'原料与矿料假设'!$E$22/'原料与矿料假设'!$F$22</x:f>
        <x:v>0</x:v>
      </x:c>
      <x:c r="Z22" s="36" t="n">
        <x:f>'主原料_毛投入'!Z22/'原料与矿料假设'!$E$22/'原料与矿料假设'!$F$22</x:f>
        <x:v>0</x:v>
      </x:c>
      <x:c r="AA22" s="36" t="n">
        <x:f>'主原料_毛投入'!AA22/'原料与矿料假设'!$E$22/'原料与矿料假设'!$F$22</x:f>
        <x:v>0</x:v>
      </x:c>
      <x:c r="AB22" s="36" t="n">
        <x:f>'主原料_毛投入'!AB22/'原料与矿料假设'!$E$22/'原料与矿料假设'!$F$22</x:f>
        <x:v>0</x:v>
      </x:c>
      <x:c r="AC22" s="36" t="n">
        <x:f>'主原料_毛投入'!AC22/'原料与矿料假设'!$E$22/'原料与矿料假设'!$F$22</x:f>
        <x:v>0</x:v>
      </x:c>
      <x:c r="AD22" s="36" t="n">
        <x:f>'主原料_毛投入'!AD22/'原料与矿料假设'!$E$22/'原料与矿料假设'!$F$22</x:f>
        <x:v>0</x:v>
      </x:c>
      <x:c r="AE22" s="36" t="n">
        <x:f>'主原料_毛投入'!AE22/'原料与矿料假设'!$E$22/'原料与矿料假设'!$F$22</x:f>
        <x:v>0</x:v>
      </x:c>
      <x:c r="AF22" s="36" t="n">
        <x:f>'主原料_毛投入'!AF22/'原料与矿料假设'!$E$22/'原料与矿料假设'!$F$22</x:f>
        <x:v>0</x:v>
      </x:c>
      <x:c r="AG22" s="36" t="n">
        <x:f>'主原料_毛投入'!AG22/'原料与矿料假设'!$E$22/'原料与矿料假设'!$F$22</x:f>
        <x:v>0</x:v>
      </x:c>
      <x:c r="AH22" s="36" t="n">
        <x:f>'主原料_毛投入'!AH22/'原料与矿料假设'!$E$22/'原料与矿料假设'!$F$22</x:f>
        <x:v>0</x:v>
      </x:c>
      <x:c r="AI22" s="36" t="n">
        <x:f>'主原料_毛投入'!AI22/'原料与矿料假设'!$E$22/'原料与矿料假设'!$F$22</x:f>
        <x:v>114.86072818495163</x:v>
      </x:c>
      <x:c r="AJ22" s="36" t="n">
        <x:f>'主原料_毛投入'!AJ22/'原料与矿料假设'!$E$22/'原料与矿料假设'!$F$22</x:f>
        <x:v>0</x:v>
      </x:c>
      <x:c r="AK22" s="36" t="n">
        <x:f>'主原料_毛投入'!AK22/'原料与矿料假设'!$E$22/'原料与矿料假设'!$F$22</x:f>
        <x:v>0</x:v>
      </x:c>
      <x:c r="AL22" s="36" t="n">
        <x:f>'主原料_毛投入'!AL22/'原料与矿料假设'!$E$22/'原料与矿料假设'!$F$22</x:f>
        <x:v>0</x:v>
      </x:c>
      <x:c r="AM22" s="36" t="n">
        <x:f>'主原料_毛投入'!AM22/'原料与矿料假设'!$E$22/'原料与矿料假设'!$F$22</x:f>
        <x:v>0</x:v>
      </x:c>
      <x:c r="AN22" s="36" t="n">
        <x:f>'主原料_毛投入'!AN22/'原料与矿料假设'!$E$22/'原料与矿料假设'!$F$22</x:f>
        <x:v>0</x:v>
      </x:c>
      <x:c r="AO22" s="36" t="n">
        <x:f>'主原料_毛投入'!AO22/'原料与矿料假设'!$E$22/'原料与矿料假设'!$F$22</x:f>
        <x:v>0</x:v>
      </x:c>
      <x:c r="AP22" s="36" t="n">
        <x:f>'主原料_毛投入'!AP22/'原料与矿料假设'!$E$22/'原料与矿料假设'!$F$22</x:f>
        <x:v>0</x:v>
      </x:c>
      <x:c r="AQ22" s="36" t="n">
        <x:f>'主原料_毛投入'!AQ22/'原料与矿料假设'!$E$22/'原料与矿料假设'!$F$22</x:f>
        <x:v>0</x:v>
      </x:c>
      <x:c r="AR22" s="36" t="n">
        <x:f>'主原料_毛投入'!AR22/'原料与矿料假设'!$E$22/'原料与矿料假设'!$F$22</x:f>
        <x:v>0</x:v>
      </x:c>
    </x:row>
    <x:row r="23" ht="40" customHeight="1">
      <x:c r="A23" s="22" t="str">
        <x:v>R18</x:v>
      </x:c>
      <x:c r="B23" s="22" t="str">
        <x:v>硼矿B₂O₃当量</x:v>
      </x:c>
      <x:c r="C23" s="22" t="str">
        <x:v>kg情景进料</x:v>
      </x:c>
      <x:c r="D23" s="36" t="n">
        <x:f>'主原料_毛投入'!D23/'原料与矿料假设'!$E$23/'原料与矿料假设'!$F$23</x:f>
        <x:v>0</x:v>
      </x:c>
      <x:c r="E23" s="36" t="n">
        <x:f>'主原料_毛投入'!E23/'原料与矿料假设'!$E$23/'原料与矿料假设'!$F$23</x:f>
        <x:v>0</x:v>
      </x:c>
      <x:c r="F23" s="36" t="n">
        <x:f>'主原料_毛投入'!F23/'原料与矿料假设'!$E$23/'原料与矿料假设'!$F$23</x:f>
        <x:v>0</x:v>
      </x:c>
      <x:c r="G23" s="36" t="n">
        <x:f>'主原料_毛投入'!G23/'原料与矿料假设'!$E$23/'原料与矿料假设'!$F$23</x:f>
        <x:v>0</x:v>
      </x:c>
      <x:c r="H23" s="36" t="n">
        <x:f>'主原料_毛投入'!H23/'原料与矿料假设'!$E$23/'原料与矿料假设'!$F$23</x:f>
        <x:v>0</x:v>
      </x:c>
      <x:c r="I23" s="36" t="n">
        <x:f>'主原料_毛投入'!I23/'原料与矿料假设'!$E$23/'原料与矿料假设'!$F$23</x:f>
        <x:v>0</x:v>
      </x:c>
      <x:c r="J23" s="36" t="n">
        <x:f>'主原料_毛投入'!J23/'原料与矿料假设'!$E$23/'原料与矿料假设'!$F$23</x:f>
        <x:v>0</x:v>
      </x:c>
      <x:c r="K23" s="36" t="n">
        <x:f>'主原料_毛投入'!K23/'原料与矿料假设'!$E$23/'原料与矿料假设'!$F$23</x:f>
        <x:v>0</x:v>
      </x:c>
      <x:c r="L23" s="36" t="n">
        <x:f>'主原料_毛投入'!L23/'原料与矿料假设'!$E$23/'原料与矿料假设'!$F$23</x:f>
        <x:v>0</x:v>
      </x:c>
      <x:c r="M23" s="36" t="n">
        <x:f>'主原料_毛投入'!M23/'原料与矿料假设'!$E$23/'原料与矿料假设'!$F$23</x:f>
        <x:v>0</x:v>
      </x:c>
      <x:c r="N23" s="36" t="n">
        <x:f>'主原料_毛投入'!N23/'原料与矿料假设'!$E$23/'原料与矿料假设'!$F$23</x:f>
        <x:v>0</x:v>
      </x:c>
      <x:c r="O23" s="36" t="n">
        <x:f>'主原料_毛投入'!O23/'原料与矿料假设'!$E$23/'原料与矿料假设'!$F$23</x:f>
        <x:v>0</x:v>
      </x:c>
      <x:c r="P23" s="36" t="n">
        <x:f>'主原料_毛投入'!P23/'原料与矿料假设'!$E$23/'原料与矿料假设'!$F$23</x:f>
        <x:v>0</x:v>
      </x:c>
      <x:c r="Q23" s="36" t="n">
        <x:f>'主原料_毛投入'!Q23/'原料与矿料假设'!$E$23/'原料与矿料假设'!$F$23</x:f>
        <x:v>0</x:v>
      </x:c>
      <x:c r="R23" s="36" t="n">
        <x:f>'主原料_毛投入'!R23/'原料与矿料假设'!$E$23/'原料与矿料假设'!$F$23</x:f>
        <x:v>0</x:v>
      </x:c>
      <x:c r="S23" s="36" t="n">
        <x:f>'主原料_毛投入'!S23/'原料与矿料假设'!$E$23/'原料与矿料假设'!$F$23</x:f>
        <x:v>0</x:v>
      </x:c>
      <x:c r="T23" s="36" t="n">
        <x:f>'主原料_毛投入'!T23/'原料与矿料假设'!$E$23/'原料与矿料假设'!$F$23</x:f>
        <x:v>0</x:v>
      </x:c>
      <x:c r="U23" s="36" t="n">
        <x:f>'主原料_毛投入'!U23/'原料与矿料假设'!$E$23/'原料与矿料假设'!$F$23</x:f>
        <x:v>0</x:v>
      </x:c>
      <x:c r="V23" s="36" t="n">
        <x:f>'主原料_毛投入'!V23/'原料与矿料假设'!$E$23/'原料与矿料假设'!$F$23</x:f>
        <x:v>0</x:v>
      </x:c>
      <x:c r="W23" s="36" t="n">
        <x:f>'主原料_毛投入'!W23/'原料与矿料假设'!$E$23/'原料与矿料假设'!$F$23</x:f>
        <x:v>0</x:v>
      </x:c>
      <x:c r="X23" s="36" t="n">
        <x:f>'主原料_毛投入'!X23/'原料与矿料假设'!$E$23/'原料与矿料假设'!$F$23</x:f>
        <x:v>0</x:v>
      </x:c>
      <x:c r="Y23" s="36" t="n">
        <x:f>'主原料_毛投入'!Y23/'原料与矿料假设'!$E$23/'原料与矿料假设'!$F$23</x:f>
        <x:v>0</x:v>
      </x:c>
      <x:c r="Z23" s="36" t="n">
        <x:f>'主原料_毛投入'!Z23/'原料与矿料假设'!$E$23/'原料与矿料假设'!$F$23</x:f>
        <x:v>0</x:v>
      </x:c>
      <x:c r="AA23" s="36" t="n">
        <x:f>'主原料_毛投入'!AA23/'原料与矿料假设'!$E$23/'原料与矿料假设'!$F$23</x:f>
        <x:v>0</x:v>
      </x:c>
      <x:c r="AB23" s="36" t="n">
        <x:f>'主原料_毛投入'!AB23/'原料与矿料假设'!$E$23/'原料与矿料假设'!$F$23</x:f>
        <x:v>0</x:v>
      </x:c>
      <x:c r="AC23" s="36" t="n">
        <x:f>'主原料_毛投入'!AC23/'原料与矿料假设'!$E$23/'原料与矿料假设'!$F$23</x:f>
        <x:v>0</x:v>
      </x:c>
      <x:c r="AD23" s="36" t="n">
        <x:f>'主原料_毛投入'!AD23/'原料与矿料假设'!$E$23/'原料与矿料假设'!$F$23</x:f>
        <x:v>0</x:v>
      </x:c>
      <x:c r="AE23" s="36" t="n">
        <x:f>'主原料_毛投入'!AE23/'原料与矿料假设'!$E$23/'原料与矿料假设'!$F$23</x:f>
        <x:v>0</x:v>
      </x:c>
      <x:c r="AF23" s="36" t="n">
        <x:f>'主原料_毛投入'!AF23/'原料与矿料假设'!$E$23/'原料与矿料假设'!$F$23</x:f>
        <x:v>0</x:v>
      </x:c>
      <x:c r="AG23" s="36" t="n">
        <x:f>'主原料_毛投入'!AG23/'原料与矿料假设'!$E$23/'原料与矿料假设'!$F$23</x:f>
        <x:v>0</x:v>
      </x:c>
      <x:c r="AH23" s="36" t="n">
        <x:f>'主原料_毛投入'!AH23/'原料与矿料假设'!$E$23/'原料与矿料假设'!$F$23</x:f>
        <x:v>0</x:v>
      </x:c>
      <x:c r="AI23" s="36" t="n">
        <x:f>'主原料_毛投入'!AI23/'原料与矿料假设'!$E$23/'原料与矿料假设'!$F$23</x:f>
        <x:v>0.02</x:v>
      </x:c>
      <x:c r="AJ23" s="36" t="n">
        <x:f>'主原料_毛投入'!AJ23/'原料与矿料假设'!$E$23/'原料与矿料假设'!$F$23</x:f>
        <x:v>0</x:v>
      </x:c>
      <x:c r="AK23" s="36" t="n">
        <x:f>'主原料_毛投入'!AK23/'原料与矿料假设'!$E$23/'原料与矿料假设'!$F$23</x:f>
        <x:v>0</x:v>
      </x:c>
      <x:c r="AL23" s="36" t="n">
        <x:f>'主原料_毛投入'!AL23/'原料与矿料假设'!$E$23/'原料与矿料假设'!$F$23</x:f>
        <x:v>0</x:v>
      </x:c>
      <x:c r="AM23" s="36" t="n">
        <x:f>'主原料_毛投入'!AM23/'原料与矿料假设'!$E$23/'原料与矿料假设'!$F$23</x:f>
        <x:v>0</x:v>
      </x:c>
      <x:c r="AN23" s="36" t="n">
        <x:f>'主原料_毛投入'!AN23/'原料与矿料假设'!$E$23/'原料与矿料假设'!$F$23</x:f>
        <x:v>0</x:v>
      </x:c>
      <x:c r="AO23" s="36" t="n">
        <x:f>'主原料_毛投入'!AO23/'原料与矿料假设'!$E$23/'原料与矿料假设'!$F$23</x:f>
        <x:v>0</x:v>
      </x:c>
      <x:c r="AP23" s="36" t="n">
        <x:f>'主原料_毛投入'!AP23/'原料与矿料假设'!$E$23/'原料与矿料假设'!$F$23</x:f>
        <x:v>0</x:v>
      </x:c>
      <x:c r="AQ23" s="36" t="n">
        <x:f>'主原料_毛投入'!AQ23/'原料与矿料假设'!$E$23/'原料与矿料假设'!$F$23</x:f>
        <x:v>0</x:v>
      </x:c>
      <x:c r="AR23" s="36" t="n">
        <x:f>'主原料_毛投入'!AR23/'原料与矿料假设'!$E$23/'原料与矿料假设'!$F$23</x:f>
        <x:v>0</x:v>
      </x:c>
    </x:row>
    <x:row r="24" ht="40" customHeight="1">
      <x:c r="A24" s="22" t="str">
        <x:v>R19</x:v>
      </x:c>
      <x:c r="B24" s="22" t="str">
        <x:v>可选萤石CaF₂</x:v>
      </x:c>
      <x:c r="C24" s="22" t="str">
        <x:v>kg情景进料</x:v>
      </x:c>
      <x:c r="D24" s="36" t="n">
        <x:f>'主原料_毛投入'!D24/'原料与矿料假设'!$E$24/'原料与矿料假设'!$F$24</x:f>
        <x:v>0</x:v>
      </x:c>
      <x:c r="E24" s="36" t="n">
        <x:f>'主原料_毛投入'!E24/'原料与矿料假设'!$E$24/'原料与矿料假设'!$F$24</x:f>
        <x:v>0</x:v>
      </x:c>
      <x:c r="F24" s="36" t="n">
        <x:f>'主原料_毛投入'!F24/'原料与矿料假设'!$E$24/'原料与矿料假设'!$F$24</x:f>
        <x:v>0</x:v>
      </x:c>
      <x:c r="G24" s="36" t="n">
        <x:f>'主原料_毛投入'!G24/'原料与矿料假设'!$E$24/'原料与矿料假设'!$F$24</x:f>
        <x:v>0</x:v>
      </x:c>
      <x:c r="H24" s="36" t="n">
        <x:f>'主原料_毛投入'!H24/'原料与矿料假设'!$E$24/'原料与矿料假设'!$F$24</x:f>
        <x:v>0</x:v>
      </x:c>
      <x:c r="I24" s="36" t="n">
        <x:f>'主原料_毛投入'!I24/'原料与矿料假设'!$E$24/'原料与矿料假设'!$F$24</x:f>
        <x:v>0</x:v>
      </x:c>
      <x:c r="J24" s="36" t="n">
        <x:f>'主原料_毛投入'!J24/'原料与矿料假设'!$E$24/'原料与矿料假设'!$F$24</x:f>
        <x:v>0</x:v>
      </x:c>
      <x:c r="K24" s="36" t="n">
        <x:f>'主原料_毛投入'!K24/'原料与矿料假设'!$E$24/'原料与矿料假设'!$F$24</x:f>
        <x:v>0</x:v>
      </x:c>
      <x:c r="L24" s="36" t="n">
        <x:f>'主原料_毛投入'!L24/'原料与矿料假设'!$E$24/'原料与矿料假设'!$F$24</x:f>
        <x:v>0</x:v>
      </x:c>
      <x:c r="M24" s="36" t="n">
        <x:f>'主原料_毛投入'!M24/'原料与矿料假设'!$E$24/'原料与矿料假设'!$F$24</x:f>
        <x:v>0</x:v>
      </x:c>
      <x:c r="N24" s="36" t="n">
        <x:f>'主原料_毛投入'!N24/'原料与矿料假设'!$E$24/'原料与矿料假设'!$F$24</x:f>
        <x:v>0</x:v>
      </x:c>
      <x:c r="O24" s="36" t="n">
        <x:f>'主原料_毛投入'!O24/'原料与矿料假设'!$E$24/'原料与矿料假设'!$F$24</x:f>
        <x:v>0</x:v>
      </x:c>
      <x:c r="P24" s="36" t="n">
        <x:f>'主原料_毛投入'!P24/'原料与矿料假设'!$E$24/'原料与矿料假设'!$F$24</x:f>
        <x:v>0</x:v>
      </x:c>
      <x:c r="Q24" s="36" t="n">
        <x:f>'主原料_毛投入'!Q24/'原料与矿料假设'!$E$24/'原料与矿料假设'!$F$24</x:f>
        <x:v>0</x:v>
      </x:c>
      <x:c r="R24" s="36" t="n">
        <x:f>'主原料_毛投入'!R24/'原料与矿料假设'!$E$24/'原料与矿料假设'!$F$24</x:f>
        <x:v>0</x:v>
      </x:c>
      <x:c r="S24" s="36" t="n">
        <x:f>'主原料_毛投入'!S24/'原料与矿料假设'!$E$24/'原料与矿料假设'!$F$24</x:f>
        <x:v>0</x:v>
      </x:c>
      <x:c r="T24" s="36" t="n">
        <x:f>'主原料_毛投入'!T24/'原料与矿料假设'!$E$24/'原料与矿料假设'!$F$24</x:f>
        <x:v>0</x:v>
      </x:c>
      <x:c r="U24" s="36" t="n">
        <x:f>'主原料_毛投入'!U24/'原料与矿料假设'!$E$24/'原料与矿料假设'!$F$24</x:f>
        <x:v>0</x:v>
      </x:c>
      <x:c r="V24" s="36" t="n">
        <x:f>'主原料_毛投入'!V24/'原料与矿料假设'!$E$24/'原料与矿料假设'!$F$24</x:f>
        <x:v>0</x:v>
      </x:c>
      <x:c r="W24" s="36" t="n">
        <x:f>'主原料_毛投入'!W24/'原料与矿料假设'!$E$24/'原料与矿料假设'!$F$24</x:f>
        <x:v>0</x:v>
      </x:c>
      <x:c r="X24" s="36" t="n">
        <x:f>'主原料_毛投入'!X24/'原料与矿料假设'!$E$24/'原料与矿料假设'!$F$24</x:f>
        <x:v>0</x:v>
      </x:c>
      <x:c r="Y24" s="36" t="n">
        <x:f>'主原料_毛投入'!Y24/'原料与矿料假设'!$E$24/'原料与矿料假设'!$F$24</x:f>
        <x:v>0</x:v>
      </x:c>
      <x:c r="Z24" s="36" t="n">
        <x:f>'主原料_毛投入'!Z24/'原料与矿料假设'!$E$24/'原料与矿料假设'!$F$24</x:f>
        <x:v>0</x:v>
      </x:c>
      <x:c r="AA24" s="36" t="n">
        <x:f>'主原料_毛投入'!AA24/'原料与矿料假设'!$E$24/'原料与矿料假设'!$F$24</x:f>
        <x:v>0</x:v>
      </x:c>
      <x:c r="AB24" s="36" t="n">
        <x:f>'主原料_毛投入'!AB24/'原料与矿料假设'!$E$24/'原料与矿料假设'!$F$24</x:f>
        <x:v>0</x:v>
      </x:c>
      <x:c r="AC24" s="36" t="n">
        <x:f>'主原料_毛投入'!AC24/'原料与矿料假设'!$E$24/'原料与矿料假设'!$F$24</x:f>
        <x:v>0</x:v>
      </x:c>
      <x:c r="AD24" s="36" t="n">
        <x:f>'主原料_毛投入'!AD24/'原料与矿料假设'!$E$24/'原料与矿料假设'!$F$24</x:f>
        <x:v>0</x:v>
      </x:c>
      <x:c r="AE24" s="36" t="n">
        <x:f>'主原料_毛投入'!AE24/'原料与矿料假设'!$E$24/'原料与矿料假设'!$F$24</x:f>
        <x:v>0</x:v>
      </x:c>
      <x:c r="AF24" s="36" t="n">
        <x:f>'主原料_毛投入'!AF24/'原料与矿料假设'!$E$24/'原料与矿料假设'!$F$24</x:f>
        <x:v>0</x:v>
      </x:c>
      <x:c r="AG24" s="36" t="n">
        <x:f>'主原料_毛投入'!AG24/'原料与矿料假设'!$E$24/'原料与矿料假设'!$F$24</x:f>
        <x:v>0</x:v>
      </x:c>
      <x:c r="AH24" s="36" t="n">
        <x:f>'主原料_毛投入'!AH24/'原料与矿料假设'!$E$24/'原料与矿料假设'!$F$24</x:f>
        <x:v>0</x:v>
      </x:c>
      <x:c r="AI24" s="36" t="n">
        <x:f>'主原料_毛投入'!AI24/'原料与矿料假设'!$E$24/'原料与矿料假设'!$F$24</x:f>
        <x:v>0</x:v>
      </x:c>
      <x:c r="AJ24" s="36" t="n">
        <x:f>'主原料_毛投入'!AJ24/'原料与矿料假设'!$E$24/'原料与矿料假设'!$F$24</x:f>
        <x:v>0</x:v>
      </x:c>
      <x:c r="AK24" s="36" t="n">
        <x:f>'主原料_毛投入'!AK24/'原料与矿料假设'!$E$24/'原料与矿料假设'!$F$24</x:f>
        <x:v>0</x:v>
      </x:c>
      <x:c r="AL24" s="36" t="n">
        <x:f>'主原料_毛投入'!AL24/'原料与矿料假设'!$E$24/'原料与矿料假设'!$F$24</x:f>
        <x:v>0</x:v>
      </x:c>
      <x:c r="AM24" s="36" t="n">
        <x:f>'主原料_毛投入'!AM24/'原料与矿料假设'!$E$24/'原料与矿料假设'!$F$24</x:f>
        <x:v>0</x:v>
      </x:c>
      <x:c r="AN24" s="36" t="n">
        <x:f>'主原料_毛投入'!AN24/'原料与矿料假设'!$E$24/'原料与矿料假设'!$F$24</x:f>
        <x:v>0</x:v>
      </x:c>
      <x:c r="AO24" s="36" t="n">
        <x:f>'主原料_毛投入'!AO24/'原料与矿料假设'!$E$24/'原料与矿料假设'!$F$24</x:f>
        <x:v>0</x:v>
      </x:c>
      <x:c r="AP24" s="36" t="n">
        <x:f>'主原料_毛投入'!AP24/'原料与矿料假设'!$E$24/'原料与矿料假设'!$F$24</x:f>
        <x:v>0</x:v>
      </x:c>
      <x:c r="AQ24" s="36" t="n">
        <x:f>'主原料_毛投入'!AQ24/'原料与矿料假设'!$E$24/'原料与矿料假设'!$F$24</x:f>
        <x:v>0</x:v>
      </x:c>
      <x:c r="AR24" s="36" t="n">
        <x:f>'主原料_毛投入'!AR24/'原料与矿料假设'!$E$24/'原料与矿料假设'!$F$24</x:f>
        <x:v>0</x:v>
      </x:c>
    </x:row>
    <x:row r="25" ht="40" customHeight="1">
      <x:c r="A25" s="22" t="str">
        <x:v>R20</x:v>
      </x:c>
      <x:c r="B25" s="22" t="str">
        <x:v>可选锡矿SnO₂</x:v>
      </x:c>
      <x:c r="C25" s="22" t="str">
        <x:v>kg情景进料</x:v>
      </x:c>
      <x:c r="D25" s="36" t="n">
        <x:f>'主原料_毛投入'!D25/'原料与矿料假设'!$E$25/'原料与矿料假设'!$F$25</x:f>
        <x:v>0</x:v>
      </x:c>
      <x:c r="E25" s="36" t="n">
        <x:f>'主原料_毛投入'!E25/'原料与矿料假设'!$E$25/'原料与矿料假设'!$F$25</x:f>
        <x:v>0</x:v>
      </x:c>
      <x:c r="F25" s="36" t="n">
        <x:f>'主原料_毛投入'!F25/'原料与矿料假设'!$E$25/'原料与矿料假设'!$F$25</x:f>
        <x:v>0</x:v>
      </x:c>
      <x:c r="G25" s="36" t="n">
        <x:f>'主原料_毛投入'!G25/'原料与矿料假设'!$E$25/'原料与矿料假设'!$F$25</x:f>
        <x:v>0</x:v>
      </x:c>
      <x:c r="H25" s="36" t="n">
        <x:f>'主原料_毛投入'!H25/'原料与矿料假设'!$E$25/'原料与矿料假设'!$F$25</x:f>
        <x:v>0</x:v>
      </x:c>
      <x:c r="I25" s="36" t="n">
        <x:f>'主原料_毛投入'!I25/'原料与矿料假设'!$E$25/'原料与矿料假设'!$F$25</x:f>
        <x:v>0</x:v>
      </x:c>
      <x:c r="J25" s="36" t="n">
        <x:f>'主原料_毛投入'!J25/'原料与矿料假设'!$E$25/'原料与矿料假设'!$F$25</x:f>
        <x:v>0</x:v>
      </x:c>
      <x:c r="K25" s="36" t="n">
        <x:f>'主原料_毛投入'!K25/'原料与矿料假设'!$E$25/'原料与矿料假设'!$F$25</x:f>
        <x:v>0</x:v>
      </x:c>
      <x:c r="L25" s="36" t="n">
        <x:f>'主原料_毛投入'!L25/'原料与矿料假设'!$E$25/'原料与矿料假设'!$F$25</x:f>
        <x:v>0</x:v>
      </x:c>
      <x:c r="M25" s="36" t="n">
        <x:f>'主原料_毛投入'!M25/'原料与矿料假设'!$E$25/'原料与矿料假设'!$F$25</x:f>
        <x:v>0</x:v>
      </x:c>
      <x:c r="N25" s="36" t="n">
        <x:f>'主原料_毛投入'!N25/'原料与矿料假设'!$E$25/'原料与矿料假设'!$F$25</x:f>
        <x:v>0</x:v>
      </x:c>
      <x:c r="O25" s="36" t="n">
        <x:f>'主原料_毛投入'!O25/'原料与矿料假设'!$E$25/'原料与矿料假设'!$F$25</x:f>
        <x:v>0</x:v>
      </x:c>
      <x:c r="P25" s="36" t="n">
        <x:f>'主原料_毛投入'!P25/'原料与矿料假设'!$E$25/'原料与矿料假设'!$F$25</x:f>
        <x:v>0</x:v>
      </x:c>
      <x:c r="Q25" s="36" t="n">
        <x:f>'主原料_毛投入'!Q25/'原料与矿料假设'!$E$25/'原料与矿料假设'!$F$25</x:f>
        <x:v>0</x:v>
      </x:c>
      <x:c r="R25" s="36" t="n">
        <x:f>'主原料_毛投入'!R25/'原料与矿料假设'!$E$25/'原料与矿料假设'!$F$25</x:f>
        <x:v>0</x:v>
      </x:c>
      <x:c r="S25" s="36" t="n">
        <x:f>'主原料_毛投入'!S25/'原料与矿料假设'!$E$25/'原料与矿料假设'!$F$25</x:f>
        <x:v>0</x:v>
      </x:c>
      <x:c r="T25" s="36" t="n">
        <x:f>'主原料_毛投入'!T25/'原料与矿料假设'!$E$25/'原料与矿料假设'!$F$25</x:f>
        <x:v>0</x:v>
      </x:c>
      <x:c r="U25" s="36" t="n">
        <x:f>'主原料_毛投入'!U25/'原料与矿料假设'!$E$25/'原料与矿料假设'!$F$25</x:f>
        <x:v>0</x:v>
      </x:c>
      <x:c r="V25" s="36" t="n">
        <x:f>'主原料_毛投入'!V25/'原料与矿料假设'!$E$25/'原料与矿料假设'!$F$25</x:f>
        <x:v>0</x:v>
      </x:c>
      <x:c r="W25" s="36" t="n">
        <x:f>'主原料_毛投入'!W25/'原料与矿料假设'!$E$25/'原料与矿料假设'!$F$25</x:f>
        <x:v>0</x:v>
      </x:c>
      <x:c r="X25" s="36" t="n">
        <x:f>'主原料_毛投入'!X25/'原料与矿料假设'!$E$25/'原料与矿料假设'!$F$25</x:f>
        <x:v>0</x:v>
      </x:c>
      <x:c r="Y25" s="36" t="n">
        <x:f>'主原料_毛投入'!Y25/'原料与矿料假设'!$E$25/'原料与矿料假设'!$F$25</x:f>
        <x:v>0</x:v>
      </x:c>
      <x:c r="Z25" s="36" t="n">
        <x:f>'主原料_毛投入'!Z25/'原料与矿料假设'!$E$25/'原料与矿料假设'!$F$25</x:f>
        <x:v>0</x:v>
      </x:c>
      <x:c r="AA25" s="36" t="n">
        <x:f>'主原料_毛投入'!AA25/'原料与矿料假设'!$E$25/'原料与矿料假设'!$F$25</x:f>
        <x:v>0</x:v>
      </x:c>
      <x:c r="AB25" s="36" t="n">
        <x:f>'主原料_毛投入'!AB25/'原料与矿料假设'!$E$25/'原料与矿料假设'!$F$25</x:f>
        <x:v>0</x:v>
      </x:c>
      <x:c r="AC25" s="36" t="n">
        <x:f>'主原料_毛投入'!AC25/'原料与矿料假设'!$E$25/'原料与矿料假设'!$F$25</x:f>
        <x:v>0</x:v>
      </x:c>
      <x:c r="AD25" s="36" t="n">
        <x:f>'主原料_毛投入'!AD25/'原料与矿料假设'!$E$25/'原料与矿料假设'!$F$25</x:f>
        <x:v>0</x:v>
      </x:c>
      <x:c r="AE25" s="36" t="n">
        <x:f>'主原料_毛投入'!AE25/'原料与矿料假设'!$E$25/'原料与矿料假设'!$F$25</x:f>
        <x:v>0</x:v>
      </x:c>
      <x:c r="AF25" s="36" t="n">
        <x:f>'主原料_毛投入'!AF25/'原料与矿料假设'!$E$25/'原料与矿料假设'!$F$25</x:f>
        <x:v>0</x:v>
      </x:c>
      <x:c r="AG25" s="36" t="n">
        <x:f>'主原料_毛投入'!AG25/'原料与矿料假设'!$E$25/'原料与矿料假设'!$F$25</x:f>
        <x:v>0</x:v>
      </x:c>
      <x:c r="AH25" s="36" t="n">
        <x:f>'主原料_毛投入'!AH25/'原料与矿料假设'!$E$25/'原料与矿料假设'!$F$25</x:f>
        <x:v>0</x:v>
      </x:c>
      <x:c r="AI25" s="36" t="n">
        <x:f>'主原料_毛投入'!AI25/'原料与矿料假设'!$E$25/'原料与矿料假设'!$F$25</x:f>
        <x:v>1.5869345463735154</x:v>
      </x:c>
      <x:c r="AJ25" s="36" t="n">
        <x:f>'主原料_毛投入'!AJ25/'原料与矿料假设'!$E$25/'原料与矿料假设'!$F$25</x:f>
        <x:v>0</x:v>
      </x:c>
      <x:c r="AK25" s="36" t="n">
        <x:f>'主原料_毛投入'!AK25/'原料与矿料假设'!$E$25/'原料与矿料假设'!$F$25</x:f>
        <x:v>0</x:v>
      </x:c>
      <x:c r="AL25" s="36" t="n">
        <x:f>'主原料_毛投入'!AL25/'原料与矿料假设'!$E$25/'原料与矿料假设'!$F$25</x:f>
        <x:v>0</x:v>
      </x:c>
      <x:c r="AM25" s="36" t="n">
        <x:f>'主原料_毛投入'!AM25/'原料与矿料假设'!$E$25/'原料与矿料假设'!$F$25</x:f>
        <x:v>0</x:v>
      </x:c>
      <x:c r="AN25" s="36" t="n">
        <x:f>'主原料_毛投入'!AN25/'原料与矿料假设'!$E$25/'原料与矿料假设'!$F$25</x:f>
        <x:v>0</x:v>
      </x:c>
      <x:c r="AO25" s="36" t="n">
        <x:f>'主原料_毛投入'!AO25/'原料与矿料假设'!$E$25/'原料与矿料假设'!$F$25</x:f>
        <x:v>0</x:v>
      </x:c>
      <x:c r="AP25" s="36" t="n">
        <x:f>'主原料_毛投入'!AP25/'原料与矿料假设'!$E$25/'原料与矿料假设'!$F$25</x:f>
        <x:v>0</x:v>
      </x:c>
      <x:c r="AQ25" s="36" t="n">
        <x:f>'主原料_毛投入'!AQ25/'原料与矿料假设'!$E$25/'原料与矿料假设'!$F$25</x:f>
        <x:v>0</x:v>
      </x:c>
      <x:c r="AR25" s="36" t="n">
        <x:f>'主原料_毛投入'!AR25/'原料与矿料假设'!$E$25/'原料与矿料假设'!$F$25</x:f>
        <x:v>0</x:v>
      </x:c>
    </x:row>
    <x:row r="26" ht="40" customHeight="1">
      <x:c r="A26" s="22" t="str">
        <x:v>R21</x:v>
      </x:c>
      <x:c r="B26" s="22" t="str">
        <x:v>石膏CaSO₄·2H₂O</x:v>
      </x:c>
      <x:c r="C26" s="22" t="str">
        <x:v>kg情景进料</x:v>
      </x:c>
      <x:c r="D26" s="36" t="n">
        <x:f>'主原料_毛投入'!D26/'原料与矿料假设'!$E$26/'原料与矿料假设'!$F$26</x:f>
        <x:v>0</x:v>
      </x:c>
      <x:c r="E26" s="36" t="n">
        <x:f>'主原料_毛投入'!E26/'原料与矿料假设'!$E$26/'原料与矿料假设'!$F$26</x:f>
        <x:v>0</x:v>
      </x:c>
      <x:c r="F26" s="36" t="n">
        <x:f>'主原料_毛投入'!F26/'原料与矿料假设'!$E$26/'原料与矿料假设'!$F$26</x:f>
        <x:v>0</x:v>
      </x:c>
      <x:c r="G26" s="36" t="n">
        <x:f>'主原料_毛投入'!G26/'原料与矿料假设'!$E$26/'原料与矿料假设'!$F$26</x:f>
        <x:v>0</x:v>
      </x:c>
      <x:c r="H26" s="36" t="n">
        <x:f>'主原料_毛投入'!H26/'原料与矿料假设'!$E$26/'原料与矿料假设'!$F$26</x:f>
        <x:v>0</x:v>
      </x:c>
      <x:c r="I26" s="36" t="n">
        <x:f>'主原料_毛投入'!I26/'原料与矿料假设'!$E$26/'原料与矿料假设'!$F$26</x:f>
        <x:v>0</x:v>
      </x:c>
      <x:c r="J26" s="36" t="n">
        <x:f>'主原料_毛投入'!J26/'原料与矿料假设'!$E$26/'原料与矿料假设'!$F$26</x:f>
        <x:v>0</x:v>
      </x:c>
      <x:c r="K26" s="36" t="n">
        <x:f>'主原料_毛投入'!K26/'原料与矿料假设'!$E$26/'原料与矿料假设'!$F$26</x:f>
        <x:v>0</x:v>
      </x:c>
      <x:c r="L26" s="36" t="n">
        <x:f>'主原料_毛投入'!L26/'原料与矿料假设'!$E$26/'原料与矿料假设'!$F$26</x:f>
        <x:v>0</x:v>
      </x:c>
      <x:c r="M26" s="36" t="n">
        <x:f>'主原料_毛投入'!M26/'原料与矿料假设'!$E$26/'原料与矿料假设'!$F$26</x:f>
        <x:v>0</x:v>
      </x:c>
      <x:c r="N26" s="36" t="n">
        <x:f>'主原料_毛投入'!N26/'原料与矿料假设'!$E$26/'原料与矿料假设'!$F$26</x:f>
        <x:v>0</x:v>
      </x:c>
      <x:c r="O26" s="36" t="n">
        <x:f>'主原料_毛投入'!O26/'原料与矿料假设'!$E$26/'原料与矿料假设'!$F$26</x:f>
        <x:v>0</x:v>
      </x:c>
      <x:c r="P26" s="36" t="n">
        <x:f>'主原料_毛投入'!P26/'原料与矿料假设'!$E$26/'原料与矿料假设'!$F$26</x:f>
        <x:v>0</x:v>
      </x:c>
      <x:c r="Q26" s="36" t="n">
        <x:f>'主原料_毛投入'!Q26/'原料与矿料假设'!$E$26/'原料与矿料假设'!$F$26</x:f>
        <x:v>0</x:v>
      </x:c>
      <x:c r="R26" s="36" t="n">
        <x:f>'主原料_毛投入'!R26/'原料与矿料假设'!$E$26/'原料与矿料假设'!$F$26</x:f>
        <x:v>0</x:v>
      </x:c>
      <x:c r="S26" s="36" t="n">
        <x:f>'主原料_毛投入'!S26/'原料与矿料假设'!$E$26/'原料与矿料假设'!$F$26</x:f>
        <x:v>0</x:v>
      </x:c>
      <x:c r="T26" s="36" t="n">
        <x:f>'主原料_毛投入'!T26/'原料与矿料假设'!$E$26/'原料与矿料假设'!$F$26</x:f>
        <x:v>0</x:v>
      </x:c>
      <x:c r="U26" s="36" t="n">
        <x:f>'主原料_毛投入'!U26/'原料与矿料假设'!$E$26/'原料与矿料假设'!$F$26</x:f>
        <x:v>0</x:v>
      </x:c>
      <x:c r="V26" s="36" t="n">
        <x:f>'主原料_毛投入'!V26/'原料与矿料假设'!$E$26/'原料与矿料假设'!$F$26</x:f>
        <x:v>0</x:v>
      </x:c>
      <x:c r="W26" s="36" t="n">
        <x:f>'主原料_毛投入'!W26/'原料与矿料假设'!$E$26/'原料与矿料假设'!$F$26</x:f>
        <x:v>0</x:v>
      </x:c>
      <x:c r="X26" s="36" t="n">
        <x:f>'主原料_毛投入'!X26/'原料与矿料假设'!$E$26/'原料与矿料假设'!$F$26</x:f>
        <x:v>0</x:v>
      </x:c>
      <x:c r="Y26" s="36" t="n">
        <x:f>'主原料_毛投入'!Y26/'原料与矿料假设'!$E$26/'原料与矿料假设'!$F$26</x:f>
        <x:v>0</x:v>
      </x:c>
      <x:c r="Z26" s="36" t="n">
        <x:f>'主原料_毛投入'!Z26/'原料与矿料假设'!$E$26/'原料与矿料假设'!$F$26</x:f>
        <x:v>0</x:v>
      </x:c>
      <x:c r="AA26" s="36" t="n">
        <x:f>'主原料_毛投入'!AA26/'原料与矿料假设'!$E$26/'原料与矿料假设'!$F$26</x:f>
        <x:v>0</x:v>
      </x:c>
      <x:c r="AB26" s="36" t="n">
        <x:f>'主原料_毛投入'!AB26/'原料与矿料假设'!$E$26/'原料与矿料假设'!$F$26</x:f>
        <x:v>0</x:v>
      </x:c>
      <x:c r="AC26" s="36" t="n">
        <x:f>'主原料_毛投入'!AC26/'原料与矿料假设'!$E$26/'原料与矿料假设'!$F$26</x:f>
        <x:v>2.2222222222222223</x:v>
      </x:c>
      <x:c r="AD26" s="36" t="n">
        <x:f>'主原料_毛投入'!AD26/'原料与矿料假设'!$E$26/'原料与矿料假设'!$F$26</x:f>
        <x:v>0</x:v>
      </x:c>
      <x:c r="AE26" s="36" t="n">
        <x:f>'主原料_毛投入'!AE26/'原料与矿料假设'!$E$26/'原料与矿料假设'!$F$26</x:f>
        <x:v>0</x:v>
      </x:c>
      <x:c r="AF26" s="36" t="n">
        <x:f>'主原料_毛投入'!AF26/'原料与矿料假设'!$E$26/'原料与矿料假设'!$F$26</x:f>
        <x:v>0</x:v>
      </x:c>
      <x:c r="AG26" s="36" t="n">
        <x:f>'主原料_毛投入'!AG26/'原料与矿料假设'!$E$26/'原料与矿料假设'!$F$26</x:f>
        <x:v>0</x:v>
      </x:c>
      <x:c r="AH26" s="36" t="n">
        <x:f>'主原料_毛投入'!AH26/'原料与矿料假设'!$E$26/'原料与矿料假设'!$F$26</x:f>
        <x:v>0</x:v>
      </x:c>
      <x:c r="AI26" s="36" t="n">
        <x:f>'主原料_毛投入'!AI26/'原料与矿料假设'!$E$26/'原料与矿料假设'!$F$26</x:f>
        <x:v>0</x:v>
      </x:c>
      <x:c r="AJ26" s="36" t="n">
        <x:f>'主原料_毛投入'!AJ26/'原料与矿料假设'!$E$26/'原料与矿料假设'!$F$26</x:f>
        <x:v>0</x:v>
      </x:c>
      <x:c r="AK26" s="36" t="n">
        <x:f>'主原料_毛投入'!AK26/'原料与矿料假设'!$E$26/'原料与矿料假设'!$F$26</x:f>
        <x:v>0</x:v>
      </x:c>
      <x:c r="AL26" s="36" t="n">
        <x:f>'主原料_毛投入'!AL26/'原料与矿料假设'!$E$26/'原料与矿料假设'!$F$26</x:f>
        <x:v>0</x:v>
      </x:c>
      <x:c r="AM26" s="36" t="n">
        <x:f>'主原料_毛投入'!AM26/'原料与矿料假设'!$E$26/'原料与矿料假设'!$F$26</x:f>
        <x:v>0</x:v>
      </x:c>
      <x:c r="AN26" s="36" t="n">
        <x:f>'主原料_毛投入'!AN26/'原料与矿料假设'!$E$26/'原料与矿料假设'!$F$26</x:f>
        <x:v>0</x:v>
      </x:c>
      <x:c r="AO26" s="36" t="n">
        <x:f>'主原料_毛投入'!AO26/'原料与矿料假设'!$E$26/'原料与矿料假设'!$F$26</x:f>
        <x:v>0</x:v>
      </x:c>
      <x:c r="AP26" s="36" t="n">
        <x:f>'主原料_毛投入'!AP26/'原料与矿料假设'!$E$26/'原料与矿料假设'!$F$26</x:f>
        <x:v>0</x:v>
      </x:c>
      <x:c r="AQ26" s="36" t="n">
        <x:f>'主原料_毛投入'!AQ26/'原料与矿料假设'!$E$26/'原料与矿料假设'!$F$26</x:f>
        <x:v>0</x:v>
      </x:c>
      <x:c r="AR26" s="36" t="n">
        <x:f>'主原料_毛投入'!AR26/'原料与矿料假设'!$E$26/'原料与矿料假设'!$F$26</x:f>
        <x:v>0</x:v>
      </x:c>
    </x:row>
  </x:sheetData>
  <x:mergeCells>
    <x:mergeCell ref="A1:AR1"/>
    <x:mergeCell ref="A2:AR3"/>
  </x:mergeCells>
  <x:conditionalFormatting sqref="D6:AR26">
    <x:cfRule type="colorScale" priority="1">
      <x:colorScale>
        <x:cfvo type="min"/>
        <x:cfvo type="percentile" val="50"/>
        <x:cfvo type="max"/>
        <x:color rgb="FFF7FAFC"/>
        <x:color rgb="FFDCECEF"/>
        <x:color rgb="FF91C5CD"/>
      </x:colorScale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</x:cols>
  <x:sheetData>
    <x:row r="1" ht="34" customHeight="1">
      <x:c r="A1" s="4" t="str">
        <x:v>外部输入矩阵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</x:row>
    <x:row r="2" ht="20" customHeight="1">
      <x:c r="A2" s="9" t="str">
        <x:v>这些成套件/辅材未展开到天然原料，因此本版不是全自产体系。数量是H占位，不是保证满足性能的工程物料单。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</x:row>
    <x:row r="5" ht="76" customHeight="1">
      <x:c r="A5" s="15" t="str">
        <x:v>输入ID</x:v>
      </x:c>
      <x:c r="B5" s="15" t="str">
        <x:v>外部输入（非火星原料）</x:v>
      </x:c>
      <x:c r="C5" s="15" t="str">
        <x:v>单位</x:v>
      </x:c>
      <x:c r="D5" s="15" t="str">
        <x:v>I01
烧结砖/铺面块
kg</x:v>
      </x:c>
      <x:c r="E5" s="15" t="str">
        <x:v>I02
陶瓷管/耐火件
kg</x:v>
      </x:c>
      <x:c r="F5" s="15" t="str">
        <x:v>I03
岩棉/玄武岩纤维
kg</x:v>
      </x:c>
      <x:c r="G5" s="15" t="str">
        <x:v>I04
透明硅玻璃板
m²（厚5mm）</x:v>
      </x:c>
      <x:c r="H5" s="15" t="str">
        <x:v>I05
低碳钢零件
kg</x:v>
      </x:c>
      <x:c r="I5" s="15" t="str">
        <x:v>I06
裸铜导线
kg</x:v>
      </x:c>
      <x:c r="J5" s="15" t="str">
        <x:v>I07
PE管材/薄膜
kg</x:v>
      </x:c>
      <x:c r="K5" s="15" t="str">
        <x:v>I08
硅橡胶密封件
kg</x:v>
      </x:c>
      <x:c r="L5" s="15" t="str">
        <x:v>I09
润滑基料
kg</x:v>
      </x:c>
      <x:c r="M5" s="15" t="str">
        <x:v>I10
钢制紧固件
kg</x:v>
      </x:c>
      <x:c r="N5" s="15" t="str">
        <x:v>I11
流体泵套件
套（名义1kW）</x:v>
      </x:c>
      <x:c r="O5" s="15" t="str">
        <x:v>I12
感应电机套件
套（名义1kW）</x:v>
      </x:c>
      <x:c r="P5" s="15" t="str">
        <x:v>I13
储液/储气容器套件
套（容积1m³）</x:v>
      </x:c>
      <x:c r="Q5" s="15" t="str">
        <x:v>I14
电热炉套件
套（名义1kW输入）</x:v>
      </x:c>
      <x:c r="R5" s="15" t="str">
        <x:v>I15
机加工设备套件
套（名义1kW主驱动）</x:v>
      </x:c>
      <x:c r="S5" s="15" t="str">
        <x:v>I16
净水设备套件
套（名义1m³/日）</x:v>
      </x:c>
      <x:c r="T5" s="15" t="str">
        <x:v>I17
气体处理设备套件
套（名义1kg CO₂/小时）</x:v>
      </x:c>
      <x:c r="U5" s="15" t="str">
        <x:v>I18
居住/厂房围护构件套件
m²围护面</x:v>
      </x:c>
      <x:c r="V5" s="15" t="str">
        <x:v>I19
机械阀门套件
件（示例小型阀）</x:v>
      </x:c>
      <x:c r="W5" s="15" t="str">
        <x:v>I20
绝缘电缆
kg</x:v>
      </x:c>
      <x:c r="X5" s="15" t="str">
        <x:v>A01
净水
kg</x:v>
      </x:c>
      <x:c r="Y5" s="15" t="str">
        <x:v>A02
无水硝酸钙肥料当量
kg</x:v>
      </x:c>
      <x:c r="Z5" s="15" t="str">
        <x:v>A03
磷酸一铵肥料当量
kg</x:v>
      </x:c>
      <x:c r="AA5" s="15" t="str">
        <x:v>A04
硫酸钾肥料
kg</x:v>
      </x:c>
      <x:c r="AB5" s="15" t="str">
        <x:v>A05
七水硫酸镁肥料
kg</x:v>
      </x:c>
      <x:c r="AC5" s="15" t="str">
        <x:v>A06
石膏钙硫肥
kg</x:v>
      </x:c>
      <x:c r="AD5" s="15" t="str">
        <x:v>A07
小麦可食干物质
kg可食干物质</x:v>
      </x:c>
      <x:c r="AE5" s="15" t="str">
        <x:v>A08
大豆可食干物质
kg可食干物质</x:v>
      </x:c>
      <x:c r="AF5" s="15" t="str">
        <x:v>A09
马铃薯可食干物质
kg可食干物质</x:v>
      </x:c>
      <x:c r="AG5" s="15" t="str">
        <x:v>A10
叶菜可食干物质
kg可食干物质</x:v>
      </x:c>
      <x:c r="AH5" s="15" t="str">
        <x:v>A11
循环水培栽培模块
m²栽培面积</x:v>
      </x:c>
      <x:c r="AI5" s="15" t="str">
        <x:v>E01
晶硅太阳能板
m²组件</x:v>
      </x:c>
      <x:c r="AJ5" s="15" t="str">
        <x:v>E02
太阳热集热板
m²集热面积</x:v>
      </x:c>
      <x:c r="AK5" s="15" t="str">
        <x:v>E03
岩石显热储热模块
kWhₜₕ名义容量</x:v>
      </x:c>
      <x:c r="AL5" s="15" t="str">
        <x:v>E04
碱性水电解设备
套（1kW额定输入）</x:v>
      </x:c>
      <x:c r="AM5" s="15" t="str">
        <x:v>E05
甲烷合成设备
套（名义1kg CH₄/日）</x:v>
      </x:c>
      <x:c r="AN5" s="15" t="str">
        <x:v>E06
合成甲烷
kg</x:v>
      </x:c>
      <x:c r="AO5" s="15" t="str">
        <x:v>E07
氢气
kg</x:v>
      </x:c>
      <x:c r="AP5" s="15" t="str">
        <x:v>E08
氧气
kg</x:v>
      </x:c>
      <x:c r="AQ5" s="15" t="str">
        <x:v>E09
镍铁蓄电池模块
kWhₑ名义容量</x:v>
      </x:c>
      <x:c r="AR5" s="15" t="str">
        <x:v>E10
甲烷—氧气发电机套件
套（1kWₑ名义输出）</x:v>
      </x:c>
    </x:row>
    <x:row r="6" ht="40" customHeight="1">
      <x:c r="A6" s="22" t="str">
        <x:v>X01</x:v>
      </x:c>
      <x:c r="B6" s="22" t="str">
        <x:v>电子/控制器成套件</x:v>
      </x:c>
      <x:c r="C6" s="22" t="str">
        <x:v>kg</x:v>
      </x:c>
      <x:c r="D6" s="38" t="n">
        <x:f>'主料系数展开'!Y59</x:f>
        <x:v>0</x:v>
      </x:c>
      <x:c r="E6" s="38" t="n">
        <x:f>'主料系数展开'!Y60</x:f>
        <x:v>0</x:v>
      </x:c>
      <x:c r="F6" s="38" t="n">
        <x:f>'主料系数展开'!Y61</x:f>
        <x:v>0</x:v>
      </x:c>
      <x:c r="G6" s="38" t="n">
        <x:f>'主料系数展开'!Y62</x:f>
        <x:v>0</x:v>
      </x:c>
      <x:c r="H6" s="38" t="n">
        <x:f>'主料系数展开'!Y63</x:f>
        <x:v>0</x:v>
      </x:c>
      <x:c r="I6" s="38" t="n">
        <x:f>'主料系数展开'!Y64</x:f>
        <x:v>0</x:v>
      </x:c>
      <x:c r="J6" s="38" t="n">
        <x:f>'主料系数展开'!Y65</x:f>
        <x:v>0</x:v>
      </x:c>
      <x:c r="K6" s="38" t="n">
        <x:f>'主料系数展开'!Y66</x:f>
        <x:v>0</x:v>
      </x:c>
      <x:c r="L6" s="38" t="n">
        <x:f>'主料系数展开'!Y67</x:f>
        <x:v>0</x:v>
      </x:c>
      <x:c r="M6" s="38" t="n">
        <x:f>'主料系数展开'!Y68</x:f>
        <x:v>0</x:v>
      </x:c>
      <x:c r="N6" s="38" t="n">
        <x:f>'主料系数展开'!Y69</x:f>
        <x:v>0.3</x:v>
      </x:c>
      <x:c r="O6" s="38" t="n">
        <x:f>'主料系数展开'!Y70</x:f>
        <x:v>0.5</x:v>
      </x:c>
      <x:c r="P6" s="38" t="n">
        <x:f>'主料系数展开'!Y71</x:f>
        <x:v>0.2</x:v>
      </x:c>
      <x:c r="Q6" s="38" t="n">
        <x:f>'主料系数展开'!Y72</x:f>
        <x:v>0.2</x:v>
      </x:c>
      <x:c r="R6" s="38" t="n">
        <x:f>'主料系数展开'!Y73</x:f>
        <x:v>2</x:v>
      </x:c>
      <x:c r="S6" s="38" t="n">
        <x:f>'主料系数展开'!Y74</x:f>
        <x:v>0.5</x:v>
      </x:c>
      <x:c r="T6" s="38" t="n">
        <x:f>'主料系数展开'!Y75</x:f>
        <x:v>0.5</x:v>
      </x:c>
      <x:c r="U6" s="38" t="n">
        <x:f>'主料系数展开'!Y76</x:f>
        <x:v>0</x:v>
      </x:c>
      <x:c r="V6" s="38" t="n">
        <x:f>'主料系数展开'!Y77</x:f>
        <x:v>0</x:v>
      </x:c>
      <x:c r="W6" s="38" t="n">
        <x:f>'主料系数展开'!Y78</x:f>
        <x:v>0</x:v>
      </x:c>
      <x:c r="X6" s="38" t="n">
        <x:f>'主料系数展开'!Y79</x:f>
        <x:v>0</x:v>
      </x:c>
      <x:c r="Y6" s="38" t="n">
        <x:f>'主料系数展开'!Y80</x:f>
        <x:v>0</x:v>
      </x:c>
      <x:c r="Z6" s="38" t="n">
        <x:f>'主料系数展开'!Y81</x:f>
        <x:v>0</x:v>
      </x:c>
      <x:c r="AA6" s="38" t="n">
        <x:f>'主料系数展开'!Y82</x:f>
        <x:v>0</x:v>
      </x:c>
      <x:c r="AB6" s="38" t="n">
        <x:f>'主料系数展开'!Y83</x:f>
        <x:v>0</x:v>
      </x:c>
      <x:c r="AC6" s="38" t="n">
        <x:f>'主料系数展开'!Y84</x:f>
        <x:v>0</x:v>
      </x:c>
      <x:c r="AD6" s="38" t="n">
        <x:f>'主料系数展开'!Y85</x:f>
        <x:v>0</x:v>
      </x:c>
      <x:c r="AE6" s="38" t="n">
        <x:f>'主料系数展开'!Y86</x:f>
        <x:v>0</x:v>
      </x:c>
      <x:c r="AF6" s="38" t="n">
        <x:f>'主料系数展开'!Y87</x:f>
        <x:v>0</x:v>
      </x:c>
      <x:c r="AG6" s="38" t="n">
        <x:f>'主料系数展开'!Y88</x:f>
        <x:v>0</x:v>
      </x:c>
      <x:c r="AH6" s="38" t="n">
        <x:f>'主料系数展开'!Y89</x:f>
        <x:v>0.115</x:v>
      </x:c>
      <x:c r="AI6" s="38" t="n">
        <x:f>'主料系数展开'!Y91</x:f>
        <x:v>0.05</x:v>
      </x:c>
      <x:c r="AJ6" s="38" t="n">
        <x:f>'主料系数展开'!Y92</x:f>
        <x:v>0</x:v>
      </x:c>
      <x:c r="AK6" s="38" t="n">
        <x:f>'主料系数展开'!Y93</x:f>
        <x:v>0</x:v>
      </x:c>
      <x:c r="AL6" s="38" t="n">
        <x:f>'主料系数展开'!Y94</x:f>
        <x:v>0.5</x:v>
      </x:c>
      <x:c r="AM6" s="38" t="n">
        <x:f>'主料系数展开'!Y95</x:f>
        <x:v>1</x:v>
      </x:c>
      <x:c r="AN6" s="38" t="n">
        <x:f>'主料系数展开'!Y96</x:f>
        <x:v>0</x:v>
      </x:c>
      <x:c r="AO6" s="38" t="n">
        <x:f>'主料系数展开'!Y97</x:f>
        <x:v>0</x:v>
      </x:c>
      <x:c r="AP6" s="38" t="n">
        <x:f>'主料系数展开'!Y98</x:f>
        <x:v>0</x:v>
      </x:c>
      <x:c r="AQ6" s="38" t="n">
        <x:f>'主料系数展开'!Y99</x:f>
        <x:v>0</x:v>
      </x:c>
      <x:c r="AR6" s="38" t="n">
        <x:f>'主料系数展开'!Y100</x:f>
        <x:v>1</x:v>
      </x:c>
    </x:row>
    <x:row r="7" ht="40" customHeight="1">
      <x:c r="A7" s="22" t="str">
        <x:v>X02</x:v>
      </x:c>
      <x:c r="B7" s="22" t="str">
        <x:v>精密加工/轴承/刀具成套件</x:v>
      </x:c>
      <x:c r="C7" s="22" t="str">
        <x:v>kg</x:v>
      </x:c>
      <x:c r="D7" s="38" t="n">
        <x:f>'主料系数展开'!Z59</x:f>
        <x:v>0</x:v>
      </x:c>
      <x:c r="E7" s="38" t="n">
        <x:f>'主料系数展开'!Z60</x:f>
        <x:v>0</x:v>
      </x:c>
      <x:c r="F7" s="38" t="n">
        <x:f>'主料系数展开'!Z61</x:f>
        <x:v>0</x:v>
      </x:c>
      <x:c r="G7" s="38" t="n">
        <x:f>'主料系数展开'!Z62</x:f>
        <x:v>0</x:v>
      </x:c>
      <x:c r="H7" s="38" t="n">
        <x:f>'主料系数展开'!Z63</x:f>
        <x:v>0</x:v>
      </x:c>
      <x:c r="I7" s="38" t="n">
        <x:f>'主料系数展开'!Z64</x:f>
        <x:v>0</x:v>
      </x:c>
      <x:c r="J7" s="38" t="n">
        <x:f>'主料系数展开'!Z65</x:f>
        <x:v>0</x:v>
      </x:c>
      <x:c r="K7" s="38" t="n">
        <x:f>'主料系数展开'!Z66</x:f>
        <x:v>0</x:v>
      </x:c>
      <x:c r="L7" s="38" t="n">
        <x:f>'主料系数展开'!Z67</x:f>
        <x:v>0</x:v>
      </x:c>
      <x:c r="M7" s="38" t="n">
        <x:f>'主料系数展开'!Z68</x:f>
        <x:v>0</x:v>
      </x:c>
      <x:c r="N7" s="38" t="n">
        <x:f>'主料系数展开'!Z69</x:f>
        <x:v>0.5</x:v>
      </x:c>
      <x:c r="O7" s="38" t="n">
        <x:f>'主料系数展开'!Z70</x:f>
        <x:v>0.3</x:v>
      </x:c>
      <x:c r="P7" s="38" t="n">
        <x:f>'主料系数展开'!Z71</x:f>
        <x:v>0.3</x:v>
      </x:c>
      <x:c r="Q7" s="38" t="n">
        <x:f>'主料系数展开'!Z72</x:f>
        <x:v>0</x:v>
      </x:c>
      <x:c r="R7" s="38" t="n">
        <x:f>'主料系数展开'!Z73</x:f>
        <x:v>1</x:v>
      </x:c>
      <x:c r="S7" s="38" t="n">
        <x:f>'主料系数展开'!Z74</x:f>
        <x:v>0</x:v>
      </x:c>
      <x:c r="T7" s="38" t="n">
        <x:f>'主料系数展开'!Z75</x:f>
        <x:v>0</x:v>
      </x:c>
      <x:c r="U7" s="38" t="n">
        <x:f>'主料系数展开'!Z76</x:f>
        <x:v>0.1</x:v>
      </x:c>
      <x:c r="V7" s="38" t="n">
        <x:f>'主料系数展开'!Z77</x:f>
        <x:v>0.02</x:v>
      </x:c>
      <x:c r="W7" s="38" t="n">
        <x:f>'主料系数展开'!Z78</x:f>
        <x:v>0</x:v>
      </x:c>
      <x:c r="X7" s="38" t="n">
        <x:f>'主料系数展开'!Z79</x:f>
        <x:v>0</x:v>
      </x:c>
      <x:c r="Y7" s="38" t="n">
        <x:f>'主料系数展开'!Z80</x:f>
        <x:v>0</x:v>
      </x:c>
      <x:c r="Z7" s="38" t="n">
        <x:f>'主料系数展开'!Z81</x:f>
        <x:v>0</x:v>
      </x:c>
      <x:c r="AA7" s="38" t="n">
        <x:f>'主料系数展开'!Z82</x:f>
        <x:v>0</x:v>
      </x:c>
      <x:c r="AB7" s="38" t="n">
        <x:f>'主料系数展开'!Z83</x:f>
        <x:v>0</x:v>
      </x:c>
      <x:c r="AC7" s="38" t="n">
        <x:f>'主料系数展开'!Z84</x:f>
        <x:v>0</x:v>
      </x:c>
      <x:c r="AD7" s="38" t="n">
        <x:f>'主料系数展开'!Z85</x:f>
        <x:v>0</x:v>
      </x:c>
      <x:c r="AE7" s="38" t="n">
        <x:f>'主料系数展开'!Z86</x:f>
        <x:v>0</x:v>
      </x:c>
      <x:c r="AF7" s="38" t="n">
        <x:f>'主料系数展开'!Z87</x:f>
        <x:v>0</x:v>
      </x:c>
      <x:c r="AG7" s="38" t="n">
        <x:f>'主料系数展开'!Z88</x:f>
        <x:v>0</x:v>
      </x:c>
      <x:c r="AH7" s="38" t="n">
        <x:f>'主料系数展开'!Z89</x:f>
        <x:v>0.025</x:v>
      </x:c>
      <x:c r="AI7" s="38" t="n">
        <x:f>'主料系数展开'!Z91</x:f>
        <x:v>0</x:v>
      </x:c>
      <x:c r="AJ7" s="38" t="n">
        <x:f>'主料系数展开'!Z92</x:f>
        <x:v>0</x:v>
      </x:c>
      <x:c r="AK7" s="38" t="n">
        <x:f>'主料系数展开'!Z93</x:f>
        <x:v>0</x:v>
      </x:c>
      <x:c r="AL7" s="38" t="n">
        <x:f>'主料系数展开'!Z94</x:f>
        <x:v>0</x:v>
      </x:c>
      <x:c r="AM7" s="38" t="n">
        <x:f>'主料系数展开'!Z95</x:f>
        <x:v>0</x:v>
      </x:c>
      <x:c r="AN7" s="38" t="n">
        <x:f>'主料系数展开'!Z96</x:f>
        <x:v>0</x:v>
      </x:c>
      <x:c r="AO7" s="38" t="n">
        <x:f>'主料系数展开'!Z97</x:f>
        <x:v>0</x:v>
      </x:c>
      <x:c r="AP7" s="38" t="n">
        <x:f>'主料系数展开'!Z98</x:f>
        <x:v>0</x:v>
      </x:c>
      <x:c r="AQ7" s="38" t="n">
        <x:f>'主料系数展开'!Z99</x:f>
        <x:v>0</x:v>
      </x:c>
      <x:c r="AR7" s="38" t="n">
        <x:f>'主料系数展开'!Z100</x:f>
        <x:v>2</x:v>
      </x:c>
    </x:row>
    <x:row r="8" ht="40" customHeight="1">
      <x:c r="A8" s="22" t="str">
        <x:v>X03</x:v>
      </x:c>
      <x:c r="B8" s="22" t="str">
        <x:v>特种膜/隔膜/催化辅材包</x:v>
      </x:c>
      <x:c r="C8" s="22" t="str">
        <x:v>kg</x:v>
      </x:c>
      <x:c r="D8" s="38" t="n">
        <x:f>'主料系数展开'!AA59</x:f>
        <x:v>0</x:v>
      </x:c>
      <x:c r="E8" s="38" t="n">
        <x:f>'主料系数展开'!AA60</x:f>
        <x:v>0</x:v>
      </x:c>
      <x:c r="F8" s="38" t="n">
        <x:f>'主料系数展开'!AA61</x:f>
        <x:v>0</x:v>
      </x:c>
      <x:c r="G8" s="38" t="n">
        <x:f>'主料系数展开'!AA62</x:f>
        <x:v>0</x:v>
      </x:c>
      <x:c r="H8" s="38" t="n">
        <x:f>'主料系数展开'!AA63</x:f>
        <x:v>0</x:v>
      </x:c>
      <x:c r="I8" s="38" t="n">
        <x:f>'主料系数展开'!AA64</x:f>
        <x:v>0</x:v>
      </x:c>
      <x:c r="J8" s="38" t="n">
        <x:f>'主料系数展开'!AA65</x:f>
        <x:v>0</x:v>
      </x:c>
      <x:c r="K8" s="38" t="n">
        <x:f>'主料系数展开'!AA66</x:f>
        <x:v>0</x:v>
      </x:c>
      <x:c r="L8" s="38" t="n">
        <x:f>'主料系数展开'!AA67</x:f>
        <x:v>0</x:v>
      </x:c>
      <x:c r="M8" s="38" t="n">
        <x:f>'主料系数展开'!AA68</x:f>
        <x:v>0</x:v>
      </x:c>
      <x:c r="N8" s="38" t="n">
        <x:f>'主料系数展开'!AA69</x:f>
        <x:v>0</x:v>
      </x:c>
      <x:c r="O8" s="38" t="n">
        <x:f>'主料系数展开'!AA70</x:f>
        <x:v>0</x:v>
      </x:c>
      <x:c r="P8" s="38" t="n">
        <x:f>'主料系数展开'!AA71</x:f>
        <x:v>0</x:v>
      </x:c>
      <x:c r="Q8" s="38" t="n">
        <x:f>'主料系数展开'!AA72</x:f>
        <x:v>0.1</x:v>
      </x:c>
      <x:c r="R8" s="38" t="n">
        <x:f>'主料系数展开'!AA73</x:f>
        <x:v>0</x:v>
      </x:c>
      <x:c r="S8" s="38" t="n">
        <x:f>'主料系数展开'!AA74</x:f>
        <x:v>0.2</x:v>
      </x:c>
      <x:c r="T8" s="38" t="n">
        <x:f>'主料系数展开'!AA75</x:f>
        <x:v>1</x:v>
      </x:c>
      <x:c r="U8" s="38" t="n">
        <x:f>'主料系数展开'!AA76</x:f>
        <x:v>0</x:v>
      </x:c>
      <x:c r="V8" s="38" t="n">
        <x:f>'主料系数展开'!AA77</x:f>
        <x:v>0</x:v>
      </x:c>
      <x:c r="W8" s="38" t="n">
        <x:f>'主料系数展开'!AA78</x:f>
        <x:v>0</x:v>
      </x:c>
      <x:c r="X8" s="38" t="n">
        <x:f>'主料系数展开'!AA79</x:f>
        <x:v>0</x:v>
      </x:c>
      <x:c r="Y8" s="38" t="n">
        <x:f>'主料系数展开'!AA80</x:f>
        <x:v>0</x:v>
      </x:c>
      <x:c r="Z8" s="38" t="n">
        <x:f>'主料系数展开'!AA81</x:f>
        <x:v>0</x:v>
      </x:c>
      <x:c r="AA8" s="38" t="n">
        <x:f>'主料系数展开'!AA82</x:f>
        <x:v>0</x:v>
      </x:c>
      <x:c r="AB8" s="38" t="n">
        <x:f>'主料系数展开'!AA83</x:f>
        <x:v>0</x:v>
      </x:c>
      <x:c r="AC8" s="38" t="n">
        <x:f>'主料系数展开'!AA84</x:f>
        <x:v>0</x:v>
      </x:c>
      <x:c r="AD8" s="38" t="n">
        <x:f>'主料系数展开'!AA85</x:f>
        <x:v>0</x:v>
      </x:c>
      <x:c r="AE8" s="38" t="n">
        <x:f>'主料系数展开'!AA86</x:f>
        <x:v>0</x:v>
      </x:c>
      <x:c r="AF8" s="38" t="n">
        <x:f>'主料系数展开'!AA87</x:f>
        <x:v>0</x:v>
      </x:c>
      <x:c r="AG8" s="38" t="n">
        <x:f>'主料系数展开'!AA88</x:f>
        <x:v>0</x:v>
      </x:c>
      <x:c r="AH8" s="38" t="n">
        <x:f>'主料系数展开'!AA89</x:f>
        <x:v>0</x:v>
      </x:c>
      <x:c r="AI8" s="38" t="n">
        <x:f>'主料系数展开'!AA91</x:f>
        <x:v>0</x:v>
      </x:c>
      <x:c r="AJ8" s="38" t="n">
        <x:f>'主料系数展开'!AA92</x:f>
        <x:v>0.02</x:v>
      </x:c>
      <x:c r="AK8" s="38" t="n">
        <x:f>'主料系数展开'!AA93</x:f>
        <x:v>0</x:v>
      </x:c>
      <x:c r="AL8" s="38" t="n">
        <x:f>'主料系数展开'!AA94</x:f>
        <x:v>0.2</x:v>
      </x:c>
      <x:c r="AM8" s="38" t="n">
        <x:f>'主料系数展开'!AA95</x:f>
        <x:v>0.1</x:v>
      </x:c>
      <x:c r="AN8" s="38" t="n">
        <x:f>'主料系数展开'!AA96</x:f>
        <x:v>0</x:v>
      </x:c>
      <x:c r="AO8" s="38" t="n">
        <x:f>'主料系数展开'!AA97</x:f>
        <x:v>0</x:v>
      </x:c>
      <x:c r="AP8" s="38" t="n">
        <x:f>'主料系数展开'!AA98</x:f>
        <x:v>0</x:v>
      </x:c>
      <x:c r="AQ8" s="38" t="n">
        <x:f>'主料系数展开'!AA99</x:f>
        <x:v>0.5</x:v>
      </x:c>
      <x:c r="AR8" s="38" t="n">
        <x:f>'主料系数展开'!AA100</x:f>
        <x:v>0</x:v>
      </x:c>
    </x:row>
    <x:row r="9" ht="40" customHeight="1">
      <x:c r="A9" s="22" t="str">
        <x:v>X04</x:v>
      </x:c>
      <x:c r="B9" s="22" t="str">
        <x:v>光伏纯化/电池制程辅材包</x:v>
      </x:c>
      <x:c r="C9" s="22" t="str">
        <x:v>kg</x:v>
      </x:c>
      <x:c r="D9" s="38" t="n">
        <x:f>'主料系数展开'!AB59</x:f>
        <x:v>0</x:v>
      </x:c>
      <x:c r="E9" s="38" t="n">
        <x:f>'主料系数展开'!AB60</x:f>
        <x:v>0</x:v>
      </x:c>
      <x:c r="F9" s="38" t="n">
        <x:f>'主料系数展开'!AB61</x:f>
        <x:v>0</x:v>
      </x:c>
      <x:c r="G9" s="38" t="n">
        <x:f>'主料系数展开'!AB62</x:f>
        <x:v>0</x:v>
      </x:c>
      <x:c r="H9" s="38" t="n">
        <x:f>'主料系数展开'!AB63</x:f>
        <x:v>0</x:v>
      </x:c>
      <x:c r="I9" s="38" t="n">
        <x:f>'主料系数展开'!AB64</x:f>
        <x:v>0</x:v>
      </x:c>
      <x:c r="J9" s="38" t="n">
        <x:f>'主料系数展开'!AB65</x:f>
        <x:v>0</x:v>
      </x:c>
      <x:c r="K9" s="38" t="n">
        <x:f>'主料系数展开'!AB66</x:f>
        <x:v>0</x:v>
      </x:c>
      <x:c r="L9" s="38" t="n">
        <x:f>'主料系数展开'!AB67</x:f>
        <x:v>0</x:v>
      </x:c>
      <x:c r="M9" s="38" t="n">
        <x:f>'主料系数展开'!AB68</x:f>
        <x:v>0</x:v>
      </x:c>
      <x:c r="N9" s="38" t="n">
        <x:f>'主料系数展开'!AB69</x:f>
        <x:v>0</x:v>
      </x:c>
      <x:c r="O9" s="38" t="n">
        <x:f>'主料系数展开'!AB70</x:f>
        <x:v>0</x:v>
      </x:c>
      <x:c r="P9" s="38" t="n">
        <x:f>'主料系数展开'!AB71</x:f>
        <x:v>0</x:v>
      </x:c>
      <x:c r="Q9" s="38" t="n">
        <x:f>'主料系数展开'!AB72</x:f>
        <x:v>0</x:v>
      </x:c>
      <x:c r="R9" s="38" t="n">
        <x:f>'主料系数展开'!AB73</x:f>
        <x:v>0</x:v>
      </x:c>
      <x:c r="S9" s="38" t="n">
        <x:f>'主料系数展开'!AB74</x:f>
        <x:v>0</x:v>
      </x:c>
      <x:c r="T9" s="38" t="n">
        <x:f>'主料系数展开'!AB75</x:f>
        <x:v>0</x:v>
      </x:c>
      <x:c r="U9" s="38" t="n">
        <x:f>'主料系数展开'!AB76</x:f>
        <x:v>0</x:v>
      </x:c>
      <x:c r="V9" s="38" t="n">
        <x:f>'主料系数展开'!AB77</x:f>
        <x:v>0</x:v>
      </x:c>
      <x:c r="W9" s="38" t="n">
        <x:f>'主料系数展开'!AB78</x:f>
        <x:v>0</x:v>
      </x:c>
      <x:c r="X9" s="38" t="n">
        <x:f>'主料系数展开'!AB79</x:f>
        <x:v>0</x:v>
      </x:c>
      <x:c r="Y9" s="38" t="n">
        <x:f>'主料系数展开'!AB80</x:f>
        <x:v>0</x:v>
      </x:c>
      <x:c r="Z9" s="38" t="n">
        <x:f>'主料系数展开'!AB81</x:f>
        <x:v>0</x:v>
      </x:c>
      <x:c r="AA9" s="38" t="n">
        <x:f>'主料系数展开'!AB82</x:f>
        <x:v>0</x:v>
      </x:c>
      <x:c r="AB9" s="38" t="n">
        <x:f>'主料系数展开'!AB83</x:f>
        <x:v>0</x:v>
      </x:c>
      <x:c r="AC9" s="38" t="n">
        <x:f>'主料系数展开'!AB84</x:f>
        <x:v>0</x:v>
      </x:c>
      <x:c r="AD9" s="38" t="n">
        <x:f>'主料系数展开'!AB85</x:f>
        <x:v>0</x:v>
      </x:c>
      <x:c r="AE9" s="38" t="n">
        <x:f>'主料系数展开'!AB86</x:f>
        <x:v>0</x:v>
      </x:c>
      <x:c r="AF9" s="38" t="n">
        <x:f>'主料系数展开'!AB87</x:f>
        <x:v>0</x:v>
      </x:c>
      <x:c r="AG9" s="38" t="n">
        <x:f>'主料系数展开'!AB88</x:f>
        <x:v>0</x:v>
      </x:c>
      <x:c r="AH9" s="38" t="n">
        <x:f>'主料系数展开'!AB89</x:f>
        <x:v>0</x:v>
      </x:c>
      <x:c r="AI9" s="38" t="n">
        <x:f>'主料系数展开'!AB91</x:f>
        <x:v>0.05</x:v>
      </x:c>
      <x:c r="AJ9" s="38" t="n">
        <x:f>'主料系数展开'!AB92</x:f>
        <x:v>0</x:v>
      </x:c>
      <x:c r="AK9" s="38" t="n">
        <x:f>'主料系数展开'!AB93</x:f>
        <x:v>0</x:v>
      </x:c>
      <x:c r="AL9" s="38" t="n">
        <x:f>'主料系数展开'!AB94</x:f>
        <x:v>0</x:v>
      </x:c>
      <x:c r="AM9" s="38" t="n">
        <x:f>'主料系数展开'!AB95</x:f>
        <x:v>0</x:v>
      </x:c>
      <x:c r="AN9" s="38" t="n">
        <x:f>'主料系数展开'!AB96</x:f>
        <x:v>0</x:v>
      </x:c>
      <x:c r="AO9" s="38" t="n">
        <x:f>'主料系数展开'!AB97</x:f>
        <x:v>0</x:v>
      </x:c>
      <x:c r="AP9" s="38" t="n">
        <x:f>'主料系数展开'!AB98</x:f>
        <x:v>0</x:v>
      </x:c>
      <x:c r="AQ9" s="38" t="n">
        <x:f>'主料系数展开'!AB99</x:f>
        <x:v>0</x:v>
      </x:c>
      <x:c r="AR9" s="38" t="n">
        <x:f>'主料系数展开'!AB100</x:f>
        <x:v>0</x:v>
      </x:c>
    </x:row>
    <x:row r="10" ht="40" customHeight="1">
      <x:c r="A10" s="22" t="str">
        <x:v>X05</x:v>
      </x:c>
      <x:c r="B10" s="22" t="str">
        <x:v>农业微量元素/螯合配方包</x:v>
      </x:c>
      <x:c r="C10" s="22" t="str">
        <x:v>kg</x:v>
      </x:c>
      <x:c r="D10" s="38" t="n">
        <x:f>'主料系数展开'!AC59</x:f>
        <x:v>0</x:v>
      </x:c>
      <x:c r="E10" s="38" t="n">
        <x:f>'主料系数展开'!AC60</x:f>
        <x:v>0</x:v>
      </x:c>
      <x:c r="F10" s="38" t="n">
        <x:f>'主料系数展开'!AC61</x:f>
        <x:v>0</x:v>
      </x:c>
      <x:c r="G10" s="38" t="n">
        <x:f>'主料系数展开'!AC62</x:f>
        <x:v>0</x:v>
      </x:c>
      <x:c r="H10" s="38" t="n">
        <x:f>'主料系数展开'!AC63</x:f>
        <x:v>0</x:v>
      </x:c>
      <x:c r="I10" s="38" t="n">
        <x:f>'主料系数展开'!AC64</x:f>
        <x:v>0</x:v>
      </x:c>
      <x:c r="J10" s="38" t="n">
        <x:f>'主料系数展开'!AC65</x:f>
        <x:v>0</x:v>
      </x:c>
      <x:c r="K10" s="38" t="n">
        <x:f>'主料系数展开'!AC66</x:f>
        <x:v>0</x:v>
      </x:c>
      <x:c r="L10" s="38" t="n">
        <x:f>'主料系数展开'!AC67</x:f>
        <x:v>0</x:v>
      </x:c>
      <x:c r="M10" s="38" t="n">
        <x:f>'主料系数展开'!AC68</x:f>
        <x:v>0</x:v>
      </x:c>
      <x:c r="N10" s="38" t="n">
        <x:f>'主料系数展开'!AC69</x:f>
        <x:v>0</x:v>
      </x:c>
      <x:c r="O10" s="38" t="n">
        <x:f>'主料系数展开'!AC70</x:f>
        <x:v>0</x:v>
      </x:c>
      <x:c r="P10" s="38" t="n">
        <x:f>'主料系数展开'!AC71</x:f>
        <x:v>0</x:v>
      </x:c>
      <x:c r="Q10" s="38" t="n">
        <x:f>'主料系数展开'!AC72</x:f>
        <x:v>0</x:v>
      </x:c>
      <x:c r="R10" s="38" t="n">
        <x:f>'主料系数展开'!AC73</x:f>
        <x:v>0</x:v>
      </x:c>
      <x:c r="S10" s="38" t="n">
        <x:f>'主料系数展开'!AC74</x:f>
        <x:v>0</x:v>
      </x:c>
      <x:c r="T10" s="38" t="n">
        <x:f>'主料系数展开'!AC75</x:f>
        <x:v>0</x:v>
      </x:c>
      <x:c r="U10" s="38" t="n">
        <x:f>'主料系数展开'!AC76</x:f>
        <x:v>0</x:v>
      </x:c>
      <x:c r="V10" s="38" t="n">
        <x:f>'主料系数展开'!AC77</x:f>
        <x:v>0</x:v>
      </x:c>
      <x:c r="W10" s="38" t="n">
        <x:f>'主料系数展开'!AC78</x:f>
        <x:v>0</x:v>
      </x:c>
      <x:c r="X10" s="38" t="n">
        <x:f>'主料系数展开'!AC79</x:f>
        <x:v>0</x:v>
      </x:c>
      <x:c r="Y10" s="38" t="n">
        <x:f>'主料系数展开'!AC80</x:f>
        <x:v>0</x:v>
      </x:c>
      <x:c r="Z10" s="38" t="n">
        <x:f>'主料系数展开'!AC81</x:f>
        <x:v>0</x:v>
      </x:c>
      <x:c r="AA10" s="38" t="n">
        <x:f>'主料系数展开'!AC82</x:f>
        <x:v>0</x:v>
      </x:c>
      <x:c r="AB10" s="38" t="n">
        <x:f>'主料系数展开'!AC83</x:f>
        <x:v>0</x:v>
      </x:c>
      <x:c r="AC10" s="38" t="n">
        <x:f>'主料系数展开'!AC84</x:f>
        <x:v>0</x:v>
      </x:c>
      <x:c r="AD10" s="38" t="n">
        <x:f>'主料系数展开'!AC85</x:f>
        <x:v>0.0022222222222222222</x:v>
      </x:c>
      <x:c r="AE10" s="38" t="n">
        <x:f>'主料系数展开'!AC86</x:f>
        <x:v>0.0025</x:v>
      </x:c>
      <x:c r="AF10" s="38" t="n">
        <x:f>'主料系数展开'!AC87</x:f>
        <x:v>0.0013333333333333333</x:v>
      </x:c>
      <x:c r="AG10" s="38" t="n">
        <x:f>'主料系数展开'!AC88</x:f>
        <x:v>0.0011764705882352942</x:v>
      </x:c>
      <x:c r="AH10" s="38" t="n">
        <x:f>'主料系数展开'!AC89</x:f>
        <x:v>0</x:v>
      </x:c>
      <x:c r="AI10" s="38" t="n">
        <x:f>'主料系数展开'!AC91</x:f>
        <x:v>0</x:v>
      </x:c>
      <x:c r="AJ10" s="38" t="n">
        <x:f>'主料系数展开'!AC92</x:f>
        <x:v>0</x:v>
      </x:c>
      <x:c r="AK10" s="38" t="n">
        <x:f>'主料系数展开'!AC93</x:f>
        <x:v>0</x:v>
      </x:c>
      <x:c r="AL10" s="38" t="n">
        <x:f>'主料系数展开'!AC94</x:f>
        <x:v>0</x:v>
      </x:c>
      <x:c r="AM10" s="38" t="n">
        <x:f>'主料系数展开'!AC95</x:f>
        <x:v>0</x:v>
      </x:c>
      <x:c r="AN10" s="38" t="n">
        <x:f>'主料系数展开'!AC96</x:f>
        <x:v>0</x:v>
      </x:c>
      <x:c r="AO10" s="38" t="n">
        <x:f>'主料系数展开'!AC97</x:f>
        <x:v>0</x:v>
      </x:c>
      <x:c r="AP10" s="38" t="n">
        <x:f>'主料系数展开'!AC98</x:f>
        <x:v>0</x:v>
      </x:c>
      <x:c r="AQ10" s="38" t="n">
        <x:f>'主料系数展开'!AC99</x:f>
        <x:v>0</x:v>
      </x:c>
      <x:c r="AR10" s="38" t="n">
        <x:f>'主料系数展开'!AC100</x:f>
        <x:v>0</x:v>
      </x:c>
    </x:row>
  </x:sheetData>
  <x:mergeCells>
    <x:mergeCell ref="A1:AR1"/>
    <x:mergeCell ref="A2:AR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5" hidden="0" customWidth="1"/>
    <x:col min="3" max="3" width="1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</x:cols>
  <x:sheetData>
    <x:row r="1" ht="34" customHeight="1">
      <x:c r="A1" s="4" t="str">
        <x:v>副产品矩阵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</x:row>
    <x:row r="2" ht="20" customHeight="1">
      <x:c r="A2" s="9" t="str">
        <x:v>主产品不在此重复出现；该表不是净排放。工艺间需求抵扣、质量检验、回收损失与存储容量另处理。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  <x:c r="W2" s="9"/>
      <x:c r="X2" s="9"/>
      <x:c r="Y2" s="9"/>
      <x:c r="Z2" s="9"/>
      <x:c r="AA2" s="9"/>
      <x:c r="AB2" s="9"/>
      <x:c r="AC2" s="9"/>
      <x:c r="AD2" s="9"/>
      <x:c r="AE2" s="9"/>
      <x:c r="AF2" s="9"/>
      <x:c r="AG2" s="9"/>
      <x:c r="AH2" s="9"/>
      <x:c r="AI2" s="9"/>
      <x:c r="AJ2" s="9"/>
      <x:c r="AK2" s="9"/>
      <x:c r="AL2" s="9"/>
      <x:c r="AM2" s="9"/>
      <x:c r="AN2" s="9"/>
      <x:c r="AO2" s="9"/>
      <x:c r="AP2" s="9"/>
      <x:c r="AQ2" s="9"/>
      <x:c r="AR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  <x:c r="U3" s="9"/>
      <x:c r="V3" s="9"/>
      <x:c r="W3" s="9"/>
      <x:c r="X3" s="9"/>
      <x:c r="Y3" s="9"/>
      <x:c r="Z3" s="9"/>
      <x:c r="AA3" s="9"/>
      <x:c r="AB3" s="9"/>
      <x:c r="AC3" s="9"/>
      <x:c r="AD3" s="9"/>
      <x:c r="AE3" s="9"/>
      <x:c r="AF3" s="9"/>
      <x:c r="AG3" s="9"/>
      <x:c r="AH3" s="9"/>
      <x:c r="AI3" s="9"/>
      <x:c r="AJ3" s="9"/>
      <x:c r="AK3" s="9"/>
      <x:c r="AL3" s="9"/>
      <x:c r="AM3" s="9"/>
      <x:c r="AN3" s="9"/>
      <x:c r="AO3" s="9"/>
      <x:c r="AP3" s="9"/>
      <x:c r="AQ3" s="9"/>
      <x:c r="AR3" s="9"/>
    </x:row>
    <x:row r="5" ht="76" customHeight="1">
      <x:c r="A5" s="15" t="str">
        <x:v>副产品ID</x:v>
      </x:c>
      <x:c r="B5" s="15" t="str">
        <x:v>含义</x:v>
      </x:c>
      <x:c r="C5" s="15" t="str">
        <x:v>单位</x:v>
      </x:c>
      <x:c r="D5" s="15" t="str">
        <x:v>I01
烧结砖/铺面块
kg</x:v>
      </x:c>
      <x:c r="E5" s="15" t="str">
        <x:v>I02
陶瓷管/耐火件
kg</x:v>
      </x:c>
      <x:c r="F5" s="15" t="str">
        <x:v>I03
岩棉/玄武岩纤维
kg</x:v>
      </x:c>
      <x:c r="G5" s="15" t="str">
        <x:v>I04
透明硅玻璃板
m²（厚5mm）</x:v>
      </x:c>
      <x:c r="H5" s="15" t="str">
        <x:v>I05
低碳钢零件
kg</x:v>
      </x:c>
      <x:c r="I5" s="15" t="str">
        <x:v>I06
裸铜导线
kg</x:v>
      </x:c>
      <x:c r="J5" s="15" t="str">
        <x:v>I07
PE管材/薄膜
kg</x:v>
      </x:c>
      <x:c r="K5" s="15" t="str">
        <x:v>I08
硅橡胶密封件
kg</x:v>
      </x:c>
      <x:c r="L5" s="15" t="str">
        <x:v>I09
润滑基料
kg</x:v>
      </x:c>
      <x:c r="M5" s="15" t="str">
        <x:v>I10
钢制紧固件
kg</x:v>
      </x:c>
      <x:c r="N5" s="15" t="str">
        <x:v>I11
流体泵套件
套（名义1kW）</x:v>
      </x:c>
      <x:c r="O5" s="15" t="str">
        <x:v>I12
感应电机套件
套（名义1kW）</x:v>
      </x:c>
      <x:c r="P5" s="15" t="str">
        <x:v>I13
储液/储气容器套件
套（容积1m³）</x:v>
      </x:c>
      <x:c r="Q5" s="15" t="str">
        <x:v>I14
电热炉套件
套（名义1kW输入）</x:v>
      </x:c>
      <x:c r="R5" s="15" t="str">
        <x:v>I15
机加工设备套件
套（名义1kW主驱动）</x:v>
      </x:c>
      <x:c r="S5" s="15" t="str">
        <x:v>I16
净水设备套件
套（名义1m³/日）</x:v>
      </x:c>
      <x:c r="T5" s="15" t="str">
        <x:v>I17
气体处理设备套件
套（名义1kg CO₂/小时）</x:v>
      </x:c>
      <x:c r="U5" s="15" t="str">
        <x:v>I18
居住/厂房围护构件套件
m²围护面</x:v>
      </x:c>
      <x:c r="V5" s="15" t="str">
        <x:v>I19
机械阀门套件
件（示例小型阀）</x:v>
      </x:c>
      <x:c r="W5" s="15" t="str">
        <x:v>I20
绝缘电缆
kg</x:v>
      </x:c>
      <x:c r="X5" s="15" t="str">
        <x:v>A01
净水
kg</x:v>
      </x:c>
      <x:c r="Y5" s="15" t="str">
        <x:v>A02
无水硝酸钙肥料当量
kg</x:v>
      </x:c>
      <x:c r="Z5" s="15" t="str">
        <x:v>A03
磷酸一铵肥料当量
kg</x:v>
      </x:c>
      <x:c r="AA5" s="15" t="str">
        <x:v>A04
硫酸钾肥料
kg</x:v>
      </x:c>
      <x:c r="AB5" s="15" t="str">
        <x:v>A05
七水硫酸镁肥料
kg</x:v>
      </x:c>
      <x:c r="AC5" s="15" t="str">
        <x:v>A06
石膏钙硫肥
kg</x:v>
      </x:c>
      <x:c r="AD5" s="15" t="str">
        <x:v>A07
小麦可食干物质
kg可食干物质</x:v>
      </x:c>
      <x:c r="AE5" s="15" t="str">
        <x:v>A08
大豆可食干物质
kg可食干物质</x:v>
      </x:c>
      <x:c r="AF5" s="15" t="str">
        <x:v>A09
马铃薯可食干物质
kg可食干物质</x:v>
      </x:c>
      <x:c r="AG5" s="15" t="str">
        <x:v>A10
叶菜可食干物质
kg可食干物质</x:v>
      </x:c>
      <x:c r="AH5" s="15" t="str">
        <x:v>A11
循环水培栽培模块
m²栽培面积</x:v>
      </x:c>
      <x:c r="AI5" s="15" t="str">
        <x:v>E01
晶硅太阳能板
m²组件</x:v>
      </x:c>
      <x:c r="AJ5" s="15" t="str">
        <x:v>E02
太阳热集热板
m²集热面积</x:v>
      </x:c>
      <x:c r="AK5" s="15" t="str">
        <x:v>E03
岩石显热储热模块
kWhₜₕ名义容量</x:v>
      </x:c>
      <x:c r="AL5" s="15" t="str">
        <x:v>E04
碱性水电解设备
套（1kW额定输入）</x:v>
      </x:c>
      <x:c r="AM5" s="15" t="str">
        <x:v>E05
甲烷合成设备
套（名义1kg CH₄/日）</x:v>
      </x:c>
      <x:c r="AN5" s="15" t="str">
        <x:v>E06
合成甲烷
kg</x:v>
      </x:c>
      <x:c r="AO5" s="15" t="str">
        <x:v>E07
氢气
kg</x:v>
      </x:c>
      <x:c r="AP5" s="15" t="str">
        <x:v>E08
氧气
kg</x:v>
      </x:c>
      <x:c r="AQ5" s="15" t="str">
        <x:v>E09
镍铁蓄电池模块
kWhₑ名义容量</x:v>
      </x:c>
      <x:c r="AR5" s="15" t="str">
        <x:v>E10
甲烷—氧气发电机套件
套（1kWₑ名义输出）</x:v>
      </x:c>
    </x:row>
    <x:row r="6" ht="40" customHeight="1">
      <x:c r="A6" s="22" t="str">
        <x:v>CO</x:v>
      </x:c>
      <x:c r="B6" s="22" t="str">
        <x:v>全部上游与终端的毛副产量</x:v>
      </x:c>
      <x:c r="C6" s="22" t="str">
        <x:v>kg</x:v>
      </x:c>
      <x:c r="D6" s="38" t="n">
        <x:f>'副产系数展开'!D59</x:f>
        <x:v>0</x:v>
      </x:c>
      <x:c r="E6" s="38" t="n">
        <x:f>'副产系数展开'!D60</x:f>
        <x:v>0</x:v>
      </x:c>
      <x:c r="F6" s="38" t="n">
        <x:f>'副产系数展开'!D61</x:f>
        <x:v>0</x:v>
      </x:c>
      <x:c r="G6" s="38" t="n">
        <x:f>'副产系数展开'!D62</x:f>
        <x:v>0</x:v>
      </x:c>
      <x:c r="H6" s="38" t="n">
        <x:f>'副产系数展开'!D63</x:f>
        <x:v>0</x:v>
      </x:c>
      <x:c r="I6" s="38" t="n">
        <x:f>'副产系数展开'!D64</x:f>
        <x:v>0</x:v>
      </x:c>
      <x:c r="J6" s="38" t="n">
        <x:f>'副产系数展开'!D65</x:f>
        <x:v>0</x:v>
      </x:c>
      <x:c r="K6" s="38" t="n">
        <x:f>'副产系数展开'!D66</x:f>
        <x:v>0.6043638913612214</x:v>
      </x:c>
      <x:c r="L6" s="38" t="n">
        <x:f>'副产系数展开'!D67</x:f>
        <x:v>0</x:v>
      </x:c>
      <x:c r="M6" s="38" t="n">
        <x:f>'副产系数展开'!D68</x:f>
        <x:v>0</x:v>
      </x:c>
      <x:c r="N6" s="38" t="n">
        <x:f>'副产系数展开'!D69</x:f>
        <x:v>0.12087277827224428</x:v>
      </x:c>
      <x:c r="O6" s="38" t="n">
        <x:f>'副产系数展开'!D70</x:f>
        <x:v>0.06043638913612214</x:v>
      </x:c>
      <x:c r="P6" s="38" t="n">
        <x:f>'副产系数展开'!D71</x:f>
        <x:v>0.12087277827224428</x:v>
      </x:c>
      <x:c r="Q6" s="38" t="n">
        <x:f>'副产系数展开'!D72</x:f>
        <x:v>0</x:v>
      </x:c>
      <x:c r="R6" s="38" t="n">
        <x:f>'副产系数展开'!D73</x:f>
        <x:v>0</x:v>
      </x:c>
      <x:c r="S6" s="38" t="n">
        <x:f>'副产系数展开'!D74</x:f>
        <x:v>0.3021819456806107</x:v>
      </x:c>
      <x:c r="T6" s="38" t="n">
        <x:f>'副产系数展开'!D75</x:f>
        <x:v>0.3021819456806107</x:v>
      </x:c>
      <x:c r="U6" s="38" t="n">
        <x:f>'副产系数展开'!D76</x:f>
        <x:v>0.12087277827224428</x:v>
      </x:c>
      <x:c r="V6" s="38" t="n">
        <x:f>'副产系数展开'!D77</x:f>
        <x:v>0.01813091674083664</x:v>
      </x:c>
      <x:c r="W6" s="38" t="n">
        <x:f>'副产系数展开'!D78</x:f>
        <x:v>0</x:v>
      </x:c>
      <x:c r="X6" s="38" t="n">
        <x:f>'副产系数展开'!D79</x:f>
        <x:v>0</x:v>
      </x:c>
      <x:c r="Y6" s="38" t="n">
        <x:f>'副产系数展开'!D80</x:f>
        <x:v>1.3656253428080394</x:v>
      </x:c>
      <x:c r="Z6" s="38" t="n">
        <x:f>'副产系数展开'!D81</x:f>
        <x:v>1.2175613996957184</x:v>
      </x:c>
      <x:c r="AA6" s="38" t="n">
        <x:f>'副产系数展开'!D82</x:f>
        <x:v>0.4822326286068452</x:v>
      </x:c>
      <x:c r="AB6" s="38" t="n">
        <x:f>'副产系数展开'!D83</x:f>
        <x:v>0</x:v>
      </x:c>
      <x:c r="AC6" s="38" t="n">
        <x:f>'副产系数展开'!D84</x:f>
        <x:v>0</x:v>
      </x:c>
      <x:c r="AD6" s="38" t="n">
        <x:f>'副产系数展开'!D85</x:f>
        <x:v>0.4943444386842685</x:v>
      </x:c>
      <x:c r="AE6" s="38" t="n">
        <x:f>'副产系数展开'!D86</x:f>
        <x:v>1.1886300560207623</x:v>
      </x:c>
      <x:c r="AF6" s="38" t="n">
        <x:f>'副产系数展开'!D87</x:f>
        <x:v>0.26111013804787886</x:v>
      </x:c>
      <x:c r="AG6" s="38" t="n">
        <x:f>'副产系数展开'!D88</x:f>
        <x:v>0.39789638119983567</x:v>
      </x:c>
      <x:c r="AH6" s="38" t="n">
        <x:f>'副产系数展开'!D89</x:f>
        <x:v>0.006043638913612214</x:v>
      </x:c>
      <x:c r="AI6" s="38" t="n">
        <x:f>'副产系数展开'!D91</x:f>
        <x:v>1.7423656749989496</x:v>
      </x:c>
      <x:c r="AJ6" s="38" t="n">
        <x:f>'副产系数展开'!D92</x:f>
        <x:v>0.06043638913612214</x:v>
      </x:c>
      <x:c r="AK6" s="38" t="n">
        <x:f>'副产系数展开'!D93</x:f>
        <x:v>0</x:v>
      </x:c>
      <x:c r="AL6" s="38" t="n">
        <x:f>'副产系数展开'!D94</x:f>
        <x:v>0.12087277827224428</x:v>
      </x:c>
      <x:c r="AM6" s="38" t="n">
        <x:f>'副产系数展开'!D95</x:f>
        <x:v>0.18130916740836642</x:v>
      </x:c>
      <x:c r="AN6" s="38" t="n">
        <x:f>'副产系数展开'!D96</x:f>
        <x:v>0</x:v>
      </x:c>
      <x:c r="AO6" s="38" t="n">
        <x:f>'副产系数展开'!D97</x:f>
        <x:v>0</x:v>
      </x:c>
      <x:c r="AP6" s="38" t="n">
        <x:f>'副产系数展开'!D98</x:f>
        <x:v>1.750734420901306</x:v>
      </x:c>
      <x:c r="AQ6" s="38" t="n">
        <x:f>'副产系数展开'!D99</x:f>
        <x:v>0</x:v>
      </x:c>
      <x:c r="AR6" s="38" t="n">
        <x:f>'副产系数展开'!D100</x:f>
        <x:v>0.18130916740836642</x:v>
      </x:c>
    </x:row>
    <x:row r="7" ht="40" customHeight="1">
      <x:c r="A7" s="22" t="str">
        <x:v>CO2</x:v>
      </x:c>
      <x:c r="B7" s="22" t="str">
        <x:v>全部上游与终端的毛副产量</x:v>
      </x:c>
      <x:c r="C7" s="22" t="str">
        <x:v>kg</x:v>
      </x:c>
      <x:c r="D7" s="38" t="n">
        <x:f>'副产系数展开'!E59</x:f>
        <x:v>0</x:v>
      </x:c>
      <x:c r="E7" s="38" t="n">
        <x:f>'副产系数展开'!E60</x:f>
        <x:v>0</x:v>
      </x:c>
      <x:c r="F7" s="38" t="n">
        <x:f>'副产系数展开'!E61</x:f>
        <x:v>0</x:v>
      </x:c>
      <x:c r="G7" s="38" t="n">
        <x:f>'副产系数展开'!E62</x:f>
        <x:v>0</x:v>
      </x:c>
      <x:c r="H7" s="38" t="n">
        <x:f>'副产系数展开'!E63</x:f>
        <x:v>0</x:v>
      </x:c>
      <x:c r="I7" s="38" t="n">
        <x:f>'副产系数展开'!E64</x:f>
        <x:v>0</x:v>
      </x:c>
      <x:c r="J7" s="38" t="n">
        <x:f>'副产系数展开'!E65</x:f>
        <x:v>0</x:v>
      </x:c>
      <x:c r="K7" s="38" t="n">
        <x:f>'副产系数展开'!E66</x:f>
        <x:v>0</x:v>
      </x:c>
      <x:c r="L7" s="38" t="n">
        <x:f>'副产系数展开'!E67</x:f>
        <x:v>0</x:v>
      </x:c>
      <x:c r="M7" s="38" t="n">
        <x:f>'副产系数展开'!E68</x:f>
        <x:v>0</x:v>
      </x:c>
      <x:c r="N7" s="38" t="n">
        <x:f>'副产系数展开'!E69</x:f>
        <x:v>0</x:v>
      </x:c>
      <x:c r="O7" s="38" t="n">
        <x:f>'副产系数展开'!E70</x:f>
        <x:v>0</x:v>
      </x:c>
      <x:c r="P7" s="38" t="n">
        <x:f>'副产系数展开'!E71</x:f>
        <x:v>0</x:v>
      </x:c>
      <x:c r="Q7" s="38" t="n">
        <x:f>'副产系数展开'!E72</x:f>
        <x:v>0</x:v>
      </x:c>
      <x:c r="R7" s="38" t="n">
        <x:f>'副产系数展开'!E73</x:f>
        <x:v>0</x:v>
      </x:c>
      <x:c r="S7" s="38" t="n">
        <x:f>'副产系数展开'!E74</x:f>
        <x:v>0</x:v>
      </x:c>
      <x:c r="T7" s="38" t="n">
        <x:f>'副产系数展开'!E75</x:f>
        <x:v>0</x:v>
      </x:c>
      <x:c r="U7" s="38" t="n">
        <x:f>'副产系数展开'!E76</x:f>
        <x:v>0</x:v>
      </x:c>
      <x:c r="V7" s="38" t="n">
        <x:f>'副产系数展开'!E77</x:f>
        <x:v>0</x:v>
      </x:c>
      <x:c r="W7" s="38" t="n">
        <x:f>'副产系数展开'!E78</x:f>
        <x:v>0</x:v>
      </x:c>
      <x:c r="X7" s="38" t="n">
        <x:f>'副产系数展开'!E79</x:f>
        <x:v>0</x:v>
      </x:c>
      <x:c r="Y7" s="38" t="n">
        <x:f>'副产系数展开'!E80</x:f>
        <x:v>0.26820691588557216</x:v>
      </x:c>
      <x:c r="Z7" s="38" t="n">
        <x:f>'副产系数展开'!E81</x:f>
        <x:v>0</x:v>
      </x:c>
      <x:c r="AA7" s="38" t="n">
        <x:f>'副产系数展开'!E82</x:f>
        <x:v>0</x:v>
      </x:c>
      <x:c r="AB7" s="38" t="n">
        <x:f>'副产系数展开'!E83</x:f>
        <x:v>0</x:v>
      </x:c>
      <x:c r="AC7" s="38" t="n">
        <x:f>'副产系数展开'!E84</x:f>
        <x:v>0</x:v>
      </x:c>
      <x:c r="AD7" s="38" t="n">
        <x:f>'副产系数展开'!E85</x:f>
        <x:v>0.07746994392001391</x:v>
      </x:c>
      <x:c r="AE7" s="38" t="n">
        <x:f>'副产系数展开'!E86</x:f>
        <x:v>0.2053513449577271</x:v>
      </x:c>
      <x:c r="AF7" s="38" t="n">
        <x:f>'副产系数展开'!E87</x:f>
        <x:v>0.038103488924055656</x:v>
      </x:c>
      <x:c r="AG7" s="38" t="n">
        <x:f>'副产系数展开'!E88</x:f>
        <x:v>0.060507842404368795</x:v>
      </x:c>
      <x:c r="AH7" s="38" t="n">
        <x:f>'副产系数展开'!E89</x:f>
        <x:v>0</x:v>
      </x:c>
      <x:c r="AI7" s="38" t="n">
        <x:f>'副产系数展开'!E91</x:f>
        <x:v>1.2477535023348898</x:v>
      </x:c>
      <x:c r="AJ7" s="38" t="n">
        <x:f>'副产系数展开'!E92</x:f>
        <x:v>0</x:v>
      </x:c>
      <x:c r="AK7" s="38" t="n">
        <x:f>'副产系数展开'!E93</x:f>
        <x:v>0</x:v>
      </x:c>
      <x:c r="AL7" s="38" t="n">
        <x:f>'副产系数展开'!E94</x:f>
        <x:v>0</x:v>
      </x:c>
      <x:c r="AM7" s="38" t="n">
        <x:f>'副产系数展开'!E95</x:f>
        <x:v>0</x:v>
      </x:c>
      <x:c r="AN7" s="38" t="n">
        <x:f>'副产系数展开'!E96</x:f>
        <x:v>0</x:v>
      </x:c>
      <x:c r="AO7" s="38" t="n">
        <x:f>'副产系数展开'!E97</x:f>
        <x:v>0</x:v>
      </x:c>
      <x:c r="AP7" s="38" t="n">
        <x:f>'副产系数展开'!E98</x:f>
        <x:v>0</x:v>
      </x:c>
      <x:c r="AQ7" s="38" t="n">
        <x:f>'副产系数展开'!E99</x:f>
        <x:v>0</x:v>
      </x:c>
      <x:c r="AR7" s="38" t="n">
        <x:f>'副产系数展开'!E100</x:f>
        <x:v>0</x:v>
      </x:c>
    </x:row>
    <x:row r="8" ht="40" customHeight="1">
      <x:c r="A8" s="22" t="str">
        <x:v>Cl2</x:v>
      </x:c>
      <x:c r="B8" s="22" t="str">
        <x:v>全部上游与终端的毛副产量</x:v>
      </x:c>
      <x:c r="C8" s="22" t="str">
        <x:v>kg</x:v>
      </x:c>
      <x:c r="D8" s="38" t="n">
        <x:f>'副产系数展开'!F59</x:f>
        <x:v>0</x:v>
      </x:c>
      <x:c r="E8" s="38" t="n">
        <x:f>'副产系数展开'!F60</x:f>
        <x:v>0</x:v>
      </x:c>
      <x:c r="F8" s="38" t="n">
        <x:f>'副产系数展开'!F61</x:f>
        <x:v>0</x:v>
      </x:c>
      <x:c r="G8" s="38" t="n">
        <x:f>'副产系数展开'!F62</x:f>
        <x:v>0</x:v>
      </x:c>
      <x:c r="H8" s="38" t="n">
        <x:f>'副产系数展开'!F63</x:f>
        <x:v>0</x:v>
      </x:c>
      <x:c r="I8" s="38" t="n">
        <x:f>'副产系数展开'!F64</x:f>
        <x:v>0</x:v>
      </x:c>
      <x:c r="J8" s="38" t="n">
        <x:f>'副产系数展开'!F65</x:f>
        <x:v>0</x:v>
      </x:c>
      <x:c r="K8" s="38" t="n">
        <x:f>'副产系数展开'!F66</x:f>
        <x:v>0</x:v>
      </x:c>
      <x:c r="L8" s="38" t="n">
        <x:f>'副产系数展开'!F67</x:f>
        <x:v>0</x:v>
      </x:c>
      <x:c r="M8" s="38" t="n">
        <x:f>'副产系数展开'!F68</x:f>
        <x:v>0</x:v>
      </x:c>
      <x:c r="N8" s="38" t="n">
        <x:f>'副产系数展开'!F69</x:f>
        <x:v>0</x:v>
      </x:c>
      <x:c r="O8" s="38" t="n">
        <x:f>'副产系数展开'!F70</x:f>
        <x:v>0</x:v>
      </x:c>
      <x:c r="P8" s="38" t="n">
        <x:f>'副产系数展开'!F71</x:f>
        <x:v>0</x:v>
      </x:c>
      <x:c r="Q8" s="38" t="n">
        <x:f>'副产系数展开'!F72</x:f>
        <x:v>0</x:v>
      </x:c>
      <x:c r="R8" s="38" t="n">
        <x:f>'副产系数展开'!F73</x:f>
        <x:v>0</x:v>
      </x:c>
      <x:c r="S8" s="38" t="n">
        <x:f>'副产系数展开'!F74</x:f>
        <x:v>0</x:v>
      </x:c>
      <x:c r="T8" s="38" t="n">
        <x:f>'副产系数展开'!F75</x:f>
        <x:v>0</x:v>
      </x:c>
      <x:c r="U8" s="38" t="n">
        <x:f>'副产系数展开'!F76</x:f>
        <x:v>0</x:v>
      </x:c>
      <x:c r="V8" s="38" t="n">
        <x:f>'副产系数展开'!F77</x:f>
        <x:v>0</x:v>
      </x:c>
      <x:c r="W8" s="38" t="n">
        <x:f>'副产系数展开'!F78</x:f>
        <x:v>0</x:v>
      </x:c>
      <x:c r="X8" s="38" t="n">
        <x:f>'副产系数展开'!F79</x:f>
        <x:v>0</x:v>
      </x:c>
      <x:c r="Y8" s="38" t="n">
        <x:f>'副产系数展开'!F80</x:f>
        <x:v>0</x:v>
      </x:c>
      <x:c r="Z8" s="38" t="n">
        <x:f>'副产系数展开'!F81</x:f>
        <x:v>0</x:v>
      </x:c>
      <x:c r="AA8" s="38" t="n">
        <x:f>'副产系数展开'!F82</x:f>
        <x:v>0</x:v>
      </x:c>
      <x:c r="AB8" s="38" t="n">
        <x:f>'副产系数展开'!F83</x:f>
        <x:v>0</x:v>
      </x:c>
      <x:c r="AC8" s="38" t="n">
        <x:f>'副产系数展开'!F84</x:f>
        <x:v>0</x:v>
      </x:c>
      <x:c r="AD8" s="38" t="n">
        <x:f>'副产系数展开'!F85</x:f>
        <x:v>0</x:v>
      </x:c>
      <x:c r="AE8" s="38" t="n">
        <x:f>'副产系数展开'!F86</x:f>
        <x:v>0</x:v>
      </x:c>
      <x:c r="AF8" s="38" t="n">
        <x:f>'副产系数展开'!F87</x:f>
        <x:v>0</x:v>
      </x:c>
      <x:c r="AG8" s="38" t="n">
        <x:f>'副产系数展开'!F88</x:f>
        <x:v>0</x:v>
      </x:c>
      <x:c r="AH8" s="38" t="n">
        <x:f>'副产系数展开'!F89</x:f>
        <x:v>0</x:v>
      </x:c>
      <x:c r="AI8" s="38" t="n">
        <x:f>'副产系数展开'!F91</x:f>
        <x:v>0</x:v>
      </x:c>
      <x:c r="AJ8" s="38" t="n">
        <x:f>'副产系数展开'!F92</x:f>
        <x:v>0</x:v>
      </x:c>
      <x:c r="AK8" s="38" t="n">
        <x:f>'副产系数展开'!F93</x:f>
        <x:v>0</x:v>
      </x:c>
      <x:c r="AL8" s="38" t="n">
        <x:f>'副产系数展开'!F94</x:f>
        <x:v>0.3159254968362891</x:v>
      </x:c>
      <x:c r="AM8" s="38" t="n">
        <x:f>'副产系数展开'!F95</x:f>
        <x:v>0</x:v>
      </x:c>
      <x:c r="AN8" s="38" t="n">
        <x:f>'副产系数展开'!F96</x:f>
        <x:v>0</x:v>
      </x:c>
      <x:c r="AO8" s="38" t="n">
        <x:f>'副产系数展开'!F97</x:f>
        <x:v>0</x:v>
      </x:c>
      <x:c r="AP8" s="38" t="n">
        <x:f>'副产系数展开'!F98</x:f>
        <x:v>0</x:v>
      </x:c>
      <x:c r="AQ8" s="38" t="n">
        <x:f>'副产系数展开'!F99</x:f>
        <x:v>1.2637019873451565</x:v>
      </x:c>
      <x:c r="AR8" s="38" t="n">
        <x:f>'副产系数展开'!F100</x:f>
        <x:v>0</x:v>
      </x:c>
    </x:row>
    <x:row r="9" ht="40" customHeight="1">
      <x:c r="A9" s="22" t="str">
        <x:v>H2</x:v>
      </x:c>
      <x:c r="B9" s="22" t="str">
        <x:v>全部上游与终端的毛副产量</x:v>
      </x:c>
      <x:c r="C9" s="22" t="str">
        <x:v>kg</x:v>
      </x:c>
      <x:c r="D9" s="38" t="n">
        <x:f>'副产系数展开'!G59</x:f>
        <x:v>0</x:v>
      </x:c>
      <x:c r="E9" s="38" t="n">
        <x:f>'副产系数展开'!G60</x:f>
        <x:v>0</x:v>
      </x:c>
      <x:c r="F9" s="38" t="n">
        <x:f>'副产系数展开'!G61</x:f>
        <x:v>0</x:v>
      </x:c>
      <x:c r="G9" s="38" t="n">
        <x:f>'副产系数展开'!G62</x:f>
        <x:v>0</x:v>
      </x:c>
      <x:c r="H9" s="38" t="n">
        <x:f>'副产系数展开'!G63</x:f>
        <x:v>0</x:v>
      </x:c>
      <x:c r="I9" s="38" t="n">
        <x:f>'副产系数展开'!G64</x:f>
        <x:v>0</x:v>
      </x:c>
      <x:c r="J9" s="38" t="n">
        <x:f>'副产系数展开'!G65</x:f>
        <x:v>0</x:v>
      </x:c>
      <x:c r="K9" s="38" t="n">
        <x:f>'副产系数展开'!G66</x:f>
        <x:v>0</x:v>
      </x:c>
      <x:c r="L9" s="38" t="n">
        <x:f>'副产系数展开'!G67</x:f>
        <x:v>0</x:v>
      </x:c>
      <x:c r="M9" s="38" t="n">
        <x:f>'副产系数展开'!G68</x:f>
        <x:v>0</x:v>
      </x:c>
      <x:c r="N9" s="38" t="n">
        <x:f>'副产系数展开'!G69</x:f>
        <x:v>0</x:v>
      </x:c>
      <x:c r="O9" s="38" t="n">
        <x:f>'副产系数展开'!G70</x:f>
        <x:v>0</x:v>
      </x:c>
      <x:c r="P9" s="38" t="n">
        <x:f>'副产系数展开'!G71</x:f>
        <x:v>0</x:v>
      </x:c>
      <x:c r="Q9" s="38" t="n">
        <x:f>'副产系数展开'!G72</x:f>
        <x:v>0</x:v>
      </x:c>
      <x:c r="R9" s="38" t="n">
        <x:f>'副产系数展开'!G73</x:f>
        <x:v>0</x:v>
      </x:c>
      <x:c r="S9" s="38" t="n">
        <x:f>'副产系数展开'!G74</x:f>
        <x:v>0</x:v>
      </x:c>
      <x:c r="T9" s="38" t="n">
        <x:f>'副产系数展开'!G75</x:f>
        <x:v>0</x:v>
      </x:c>
      <x:c r="U9" s="38" t="n">
        <x:f>'副产系数展开'!G76</x:f>
        <x:v>0</x:v>
      </x:c>
      <x:c r="V9" s="38" t="n">
        <x:f>'副产系数展开'!G77</x:f>
        <x:v>0</x:v>
      </x:c>
      <x:c r="W9" s="38" t="n">
        <x:f>'副产系数展开'!G78</x:f>
        <x:v>0</x:v>
      </x:c>
      <x:c r="X9" s="38" t="n">
        <x:f>'副产系数展开'!G79</x:f>
        <x:v>0</x:v>
      </x:c>
      <x:c r="Y9" s="38" t="n">
        <x:f>'副产系数展开'!G80</x:f>
        <x:v>0</x:v>
      </x:c>
      <x:c r="Z9" s="38" t="n">
        <x:f>'副产系数展开'!G81</x:f>
        <x:v>0</x:v>
      </x:c>
      <x:c r="AA9" s="38" t="n">
        <x:f>'副产系数展开'!G82</x:f>
        <x:v>0</x:v>
      </x:c>
      <x:c r="AB9" s="38" t="n">
        <x:f>'副产系数展开'!G83</x:f>
        <x:v>0</x:v>
      </x:c>
      <x:c r="AC9" s="38" t="n">
        <x:f>'副产系数展开'!G84</x:f>
        <x:v>0</x:v>
      </x:c>
      <x:c r="AD9" s="38" t="n">
        <x:f>'副产系数展开'!G85</x:f>
        <x:v>0</x:v>
      </x:c>
      <x:c r="AE9" s="38" t="n">
        <x:f>'副产系数展开'!G86</x:f>
        <x:v>0</x:v>
      </x:c>
      <x:c r="AF9" s="38" t="n">
        <x:f>'副产系数展开'!G87</x:f>
        <x:v>0</x:v>
      </x:c>
      <x:c r="AG9" s="38" t="n">
        <x:f>'副产系数展开'!G88</x:f>
        <x:v>0</x:v>
      </x:c>
      <x:c r="AH9" s="38" t="n">
        <x:f>'副产系数展开'!G89</x:f>
        <x:v>0</x:v>
      </x:c>
      <x:c r="AI9" s="38" t="n">
        <x:f>'副产系数展开'!G91</x:f>
        <x:v>0</x:v>
      </x:c>
      <x:c r="AJ9" s="38" t="n">
        <x:f>'副产系数展开'!G92</x:f>
        <x:v>0</x:v>
      </x:c>
      <x:c r="AK9" s="38" t="n">
        <x:f>'副产系数展开'!G93</x:f>
        <x:v>0</x:v>
      </x:c>
      <x:c r="AL9" s="38" t="n">
        <x:f>'副产系数展开'!G94</x:f>
        <x:v>0.008983156581409857</x:v>
      </x:c>
      <x:c r="AM9" s="38" t="n">
        <x:f>'副产系数展开'!G95</x:f>
        <x:v>0</x:v>
      </x:c>
      <x:c r="AN9" s="38" t="n">
        <x:f>'副产系数展开'!G96</x:f>
        <x:v>0</x:v>
      </x:c>
      <x:c r="AO9" s="38" t="n">
        <x:f>'副产系数展开'!G97</x:f>
        <x:v>0</x:v>
      </x:c>
      <x:c r="AP9" s="38" t="n">
        <x:f>'副产系数展开'!G98</x:f>
        <x:v>0</x:v>
      </x:c>
      <x:c r="AQ9" s="38" t="n">
        <x:f>'副产系数展开'!G99</x:f>
        <x:v>0.03593262632563943</x:v>
      </x:c>
      <x:c r="AR9" s="38" t="n">
        <x:f>'副产系数展开'!G100</x:f>
        <x:v>0</x:v>
      </x:c>
    </x:row>
    <x:row r="10" ht="40" customHeight="1">
      <x:c r="A10" s="22" t="str">
        <x:v>H2O</x:v>
      </x:c>
      <x:c r="B10" s="22" t="str">
        <x:v>全部上游与终端的毛副产量</x:v>
      </x:c>
      <x:c r="C10" s="22" t="str">
        <x:v>kg</x:v>
      </x:c>
      <x:c r="D10" s="38" t="n">
        <x:f>'副产系数展开'!H59</x:f>
        <x:v>0</x:v>
      </x:c>
      <x:c r="E10" s="38" t="n">
        <x:f>'副产系数展开'!H60</x:f>
        <x:v>0</x:v>
      </x:c>
      <x:c r="F10" s="38" t="n">
        <x:f>'副产系数展开'!H61</x:f>
        <x:v>0</x:v>
      </x:c>
      <x:c r="G10" s="38" t="n">
        <x:f>'副产系数展开'!H62</x:f>
        <x:v>0</x:v>
      </x:c>
      <x:c r="H10" s="38" t="n">
        <x:f>'副产系数展开'!H63</x:f>
        <x:v>0.4889156970735462</x:v>
      </x:c>
      <x:c r="I10" s="38" t="n">
        <x:f>'副产系数展开'!H64</x:f>
        <x:v>0.2834954206401662</x:v>
      </x:c>
      <x:c r="J10" s="38" t="n">
        <x:f>'副产系数展开'!H65</x:f>
        <x:v>2.5686176659299926</x:v>
      </x:c>
      <x:c r="K10" s="38" t="n">
        <x:f>'副产系数展开'!H66</x:f>
        <x:v>1.3604660571243632</x:v>
      </x:c>
      <x:c r="L10" s="38" t="n">
        <x:f>'副产系数展开'!H67</x:f>
        <x:v>2.5686176659299926</x:v>
      </x:c>
      <x:c r="M10" s="38" t="n">
        <x:f>'副产系数展开'!H68</x:f>
        <x:v>0.4889156970735462</x:v>
      </x:c>
      <x:c r="N10" s="38" t="n">
        <x:f>'副产系数展开'!H69</x:f>
        <x:v>6.5643247072676765</x:v>
      </x:c>
      <x:c r="O10" s="38" t="n">
        <x:f>'副产系数展开'!H70</x:f>
        <x:v>5.59219441772823</x:v>
      </x:c>
      <x:c r="P10" s="38" t="n">
        <x:f>'副产系数展开'!H71</x:f>
        <x:v>29.74878274615773</x:v>
      </x:c>
      <x:c r="Q10" s="38" t="n">
        <x:f>'副产系数展开'!H72</x:f>
        <x:v>4.086201310166209</x:v>
      </x:c>
      <x:c r="R10" s="38" t="n">
        <x:f>'副产系数展开'!H73</x:f>
        <x:v>52.31067363520511</x:v>
      </x:c>
      <x:c r="S10" s="38" t="n">
        <x:f>'副产系数展开'!H74</x:f>
        <x:v>23.58513072032323</x:v>
      </x:c>
      <x:c r="T10" s="38" t="n">
        <x:f>'副产系数展开'!H75</x:f>
        <x:v>11.025537811313438</x:v>
      </x:c>
      <x:c r="U10" s="38" t="n">
        <x:f>'副产系数展开'!H76</x:f>
        <x:v>12.619024818825787</x:v>
      </x:c>
      <x:c r="V10" s="38" t="n">
        <x:f>'副产系数展开'!H77</x:f>
        <x:v>0.4808381090799225</x:v>
      </x:c>
      <x:c r="W10" s="38" t="n">
        <x:f>'副产系数展开'!H78</x:f>
        <x:v>0.7405198696981314</x:v>
      </x:c>
      <x:c r="X10" s="38" t="n">
        <x:f>'副产系数展开'!H79</x:f>
        <x:v>0</x:v>
      </x:c>
      <x:c r="Y10" s="38" t="n">
        <x:f>'副产系数展开'!H80</x:f>
        <x:v>0.32936996453079476</x:v>
      </x:c>
      <x:c r="Z10" s="38" t="n">
        <x:f>'副产系数展开'!H81</x:f>
        <x:v>0</x:v>
      </x:c>
      <x:c r="AA10" s="38" t="n">
        <x:f>'副产系数展开'!H82</x:f>
        <x:v>0</x:v>
      </x:c>
      <x:c r="AB10" s="38" t="n">
        <x:f>'副产系数展开'!H83</x:f>
        <x:v>0</x:v>
      </x:c>
      <x:c r="AC10" s="38" t="n">
        <x:f>'副产系数展开'!H84</x:f>
        <x:v>0</x:v>
      </x:c>
      <x:c r="AD10" s="38" t="n">
        <x:f>'副产系数展开'!H85</x:f>
        <x:v>0.09513652023806839</x:v>
      </x:c>
      <x:c r="AE10" s="38" t="n">
        <x:f>'副产系数展开'!H86</x:f>
        <x:v>0.2521805412129419</x:v>
      </x:c>
      <x:c r="AF10" s="38" t="n">
        <x:f>'副产系数展开'!H87</x:f>
        <x:v>0.046792770999127174</x:v>
      </x:c>
      <x:c r="AG10" s="38" t="n">
        <x:f>'副产系数展开'!H88</x:f>
        <x:v>0.07430630877193554</x:v>
      </x:c>
      <x:c r="AH10" s="38" t="n">
        <x:f>'副产系数展开'!H89</x:f>
        <x:v>10.478647718521092</x:v>
      </x:c>
      <x:c r="AI10" s="38" t="n">
        <x:f>'副产系数展开'!H91</x:f>
        <x:v>3.7401268314406346</x:v>
      </x:c>
      <x:c r="AJ10" s="38" t="n">
        <x:f>'副产系数展开'!H92</x:f>
        <x:v>3.211288498473797</x:v>
      </x:c>
      <x:c r="AK10" s="38" t="n">
        <x:f>'副产系数展开'!H93</x:f>
        <x:v>0.9778313941470924</x:v>
      </x:c>
      <x:c r="AL10" s="38" t="n">
        <x:f>'副产系数展开'!H94</x:f>
        <x:v>10.764877845284568</x:v>
      </x:c>
      <x:c r="AM10" s="38" t="n">
        <x:f>'副产系数展开'!H95</x:f>
        <x:v>15.796069616217201</x:v>
      </x:c>
      <x:c r="AN10" s="38" t="n">
        <x:f>'副产系数展开'!H96</x:f>
        <x:v>2.2458393068628064</x:v>
      </x:c>
      <x:c r="AO10" s="38" t="n">
        <x:f>'副产系数展开'!H97</x:f>
        <x:v>0</x:v>
      </x:c>
      <x:c r="AP10" s="38" t="n">
        <x:f>'副产系数展开'!H98</x:f>
        <x:v>0</x:v>
      </x:c>
      <x:c r="AQ10" s="38" t="n">
        <x:f>'副产系数展开'!H99</x:f>
        <x:v>11.619791906549695</x:v>
      </x:c>
      <x:c r="AR10" s="38" t="n">
        <x:f>'副产系数展开'!H100</x:f>
        <x:v>30.877063324110747</x:v>
      </x:c>
    </x:row>
    <x:row r="11" ht="40" customHeight="1">
      <x:c r="A11" s="22" t="str">
        <x:v>HCl</x:v>
      </x:c>
      <x:c r="B11" s="22" t="str">
        <x:v>全部上游与终端的毛副产量</x:v>
      </x:c>
      <x:c r="C11" s="22" t="str">
        <x:v>kg</x:v>
      </x:c>
      <x:c r="D11" s="38" t="n">
        <x:f>'副产系数展开'!I59</x:f>
        <x:v>0</x:v>
      </x:c>
      <x:c r="E11" s="38" t="n">
        <x:f>'副产系数展开'!I60</x:f>
        <x:v>0</x:v>
      </x:c>
      <x:c r="F11" s="38" t="n">
        <x:f>'副产系数展开'!I61</x:f>
        <x:v>0</x:v>
      </x:c>
      <x:c r="G11" s="38" t="n">
        <x:f>'副产系数展开'!I62</x:f>
        <x:v>0</x:v>
      </x:c>
      <x:c r="H11" s="38" t="n">
        <x:f>'副产系数展开'!I63</x:f>
        <x:v>0</x:v>
      </x:c>
      <x:c r="I11" s="38" t="n">
        <x:f>'副产系数展开'!I64</x:f>
        <x:v>0</x:v>
      </x:c>
      <x:c r="J11" s="38" t="n">
        <x:f>'副产系数展开'!I65</x:f>
        <x:v>0</x:v>
      </x:c>
      <x:c r="K11" s="38" t="n">
        <x:f>'副产系数展开'!I66</x:f>
        <x:v>0</x:v>
      </x:c>
      <x:c r="L11" s="38" t="n">
        <x:f>'副产系数展开'!I67</x:f>
        <x:v>0</x:v>
      </x:c>
      <x:c r="M11" s="38" t="n">
        <x:f>'副产系数展开'!I68</x:f>
        <x:v>0</x:v>
      </x:c>
      <x:c r="N11" s="38" t="n">
        <x:f>'副产系数展开'!I69</x:f>
        <x:v>0</x:v>
      </x:c>
      <x:c r="O11" s="38" t="n">
        <x:f>'副产系数展开'!I70</x:f>
        <x:v>0</x:v>
      </x:c>
      <x:c r="P11" s="38" t="n">
        <x:f>'副产系数展开'!I71</x:f>
        <x:v>0</x:v>
      </x:c>
      <x:c r="Q11" s="38" t="n">
        <x:f>'副产系数展开'!I72</x:f>
        <x:v>0</x:v>
      </x:c>
      <x:c r="R11" s="38" t="n">
        <x:f>'副产系数展开'!I73</x:f>
        <x:v>0</x:v>
      </x:c>
      <x:c r="S11" s="38" t="n">
        <x:f>'副产系数展开'!I74</x:f>
        <x:v>0</x:v>
      </x:c>
      <x:c r="T11" s="38" t="n">
        <x:f>'副产系数展开'!I75</x:f>
        <x:v>0</x:v>
      </x:c>
      <x:c r="U11" s="38" t="n">
        <x:f>'副产系数展开'!I76</x:f>
        <x:v>0</x:v>
      </x:c>
      <x:c r="V11" s="38" t="n">
        <x:f>'副产系数展开'!I77</x:f>
        <x:v>0</x:v>
      </x:c>
      <x:c r="W11" s="38" t="n">
        <x:f>'副产系数展开'!I78</x:f>
        <x:v>0</x:v>
      </x:c>
      <x:c r="X11" s="38" t="n">
        <x:f>'副产系数展开'!I79</x:f>
        <x:v>0</x:v>
      </x:c>
      <x:c r="Y11" s="38" t="n">
        <x:f>'副产系数展开'!I80</x:f>
        <x:v>0</x:v>
      </x:c>
      <x:c r="Z11" s="38" t="n">
        <x:f>'副产系数展开'!I81</x:f>
        <x:v>0</x:v>
      </x:c>
      <x:c r="AA11" s="38" t="n">
        <x:f>'副产系数展开'!I82</x:f>
        <x:v>0.41845143814705144</x:v>
      </x:c>
      <x:c r="AB11" s="38" t="n">
        <x:f>'副产系数展开'!I83</x:f>
        <x:v>0</x:v>
      </x:c>
      <x:c r="AC11" s="38" t="n">
        <x:f>'副产系数展开'!I84</x:f>
        <x:v>0</x:v>
      </x:c>
      <x:c r="AD11" s="38" t="n">
        <x:f>'副产系数展开'!I85</x:f>
        <x:v>0.05180429803172656</x:v>
      </x:c>
      <x:c r="AE11" s="38" t="n">
        <x:f>'副产系数展开'!I86</x:f>
        <x:v>0.06527341551997547</x:v>
      </x:c>
      <x:c r="AF11" s="38" t="n">
        <x:f>'副产系数展开'!I87</x:f>
        <x:v>0.03729909458284311</x:v>
      </x:c>
      <x:c r="AG11" s="38" t="n">
        <x:f>'副产系数展开'!I88</x:f>
        <x:v>0.054851609680651656</x:v>
      </x:c>
      <x:c r="AH11" s="38" t="n">
        <x:f>'副产系数展开'!I89</x:f>
        <x:v>0</x:v>
      </x:c>
      <x:c r="AI11" s="38" t="n">
        <x:f>'副产系数展开'!I91</x:f>
        <x:v>0</x:v>
      </x:c>
      <x:c r="AJ11" s="38" t="n">
        <x:f>'副产系数展开'!I92</x:f>
        <x:v>0</x:v>
      </x:c>
      <x:c r="AK11" s="38" t="n">
        <x:f>'副产系数展开'!I93</x:f>
        <x:v>0</x:v>
      </x:c>
      <x:c r="AL11" s="38" t="n">
        <x:f>'副产系数展开'!I94</x:f>
        <x:v>0</x:v>
      </x:c>
      <x:c r="AM11" s="38" t="n">
        <x:f>'副产系数展开'!I95</x:f>
        <x:v>0</x:v>
      </x:c>
      <x:c r="AN11" s="38" t="n">
        <x:f>'副产系数展开'!I96</x:f>
        <x:v>0</x:v>
      </x:c>
      <x:c r="AO11" s="38" t="n">
        <x:f>'副产系数展开'!I97</x:f>
        <x:v>0</x:v>
      </x:c>
      <x:c r="AP11" s="38" t="n">
        <x:f>'副产系数展开'!I98</x:f>
        <x:v>0</x:v>
      </x:c>
      <x:c r="AQ11" s="38" t="n">
        <x:f>'副产系数展开'!I99</x:f>
        <x:v>0</x:v>
      </x:c>
      <x:c r="AR11" s="38" t="n">
        <x:f>'副产系数展开'!I100</x:f>
        <x:v>0</x:v>
      </x:c>
    </x:row>
    <x:row r="12" ht="40" customHeight="1">
      <x:c r="A12" s="22" t="str">
        <x:v>HF</x:v>
      </x:c>
      <x:c r="B12" s="22" t="str">
        <x:v>全部上游与终端的毛副产量</x:v>
      </x:c>
      <x:c r="C12" s="22" t="str">
        <x:v>kg</x:v>
      </x:c>
      <x:c r="D12" s="38" t="n">
        <x:f>'副产系数展开'!J59</x:f>
        <x:v>0</x:v>
      </x:c>
      <x:c r="E12" s="38" t="n">
        <x:f>'副产系数展开'!J60</x:f>
        <x:v>0</x:v>
      </x:c>
      <x:c r="F12" s="38" t="n">
        <x:f>'副产系数展开'!J61</x:f>
        <x:v>0</x:v>
      </x:c>
      <x:c r="G12" s="38" t="n">
        <x:f>'副产系数展开'!J62</x:f>
        <x:v>0</x:v>
      </x:c>
      <x:c r="H12" s="38" t="n">
        <x:f>'副产系数展开'!J63</x:f>
        <x:v>0</x:v>
      </x:c>
      <x:c r="I12" s="38" t="n">
        <x:f>'副产系数展开'!J64</x:f>
        <x:v>0</x:v>
      </x:c>
      <x:c r="J12" s="38" t="n">
        <x:f>'副产系数展开'!J65</x:f>
        <x:v>0</x:v>
      </x:c>
      <x:c r="K12" s="38" t="n">
        <x:f>'副产系数展开'!J66</x:f>
        <x:v>0</x:v>
      </x:c>
      <x:c r="L12" s="38" t="n">
        <x:f>'副产系数展开'!J67</x:f>
        <x:v>0</x:v>
      </x:c>
      <x:c r="M12" s="38" t="n">
        <x:f>'副产系数展开'!J68</x:f>
        <x:v>0</x:v>
      </x:c>
      <x:c r="N12" s="38" t="n">
        <x:f>'副产系数展开'!J69</x:f>
        <x:v>0</x:v>
      </x:c>
      <x:c r="O12" s="38" t="n">
        <x:f>'副产系数展开'!J70</x:f>
        <x:v>0</x:v>
      </x:c>
      <x:c r="P12" s="38" t="n">
        <x:f>'副产系数展开'!J71</x:f>
        <x:v>0</x:v>
      </x:c>
      <x:c r="Q12" s="38" t="n">
        <x:f>'副产系数展开'!J72</x:f>
        <x:v>0</x:v>
      </x:c>
      <x:c r="R12" s="38" t="n">
        <x:f>'副产系数展开'!J73</x:f>
        <x:v>0</x:v>
      </x:c>
      <x:c r="S12" s="38" t="n">
        <x:f>'副产系数展开'!J74</x:f>
        <x:v>0</x:v>
      </x:c>
      <x:c r="T12" s="38" t="n">
        <x:f>'副产系数展开'!J75</x:f>
        <x:v>0</x:v>
      </x:c>
      <x:c r="U12" s="38" t="n">
        <x:f>'副产系数展开'!J76</x:f>
        <x:v>0</x:v>
      </x:c>
      <x:c r="V12" s="38" t="n">
        <x:f>'副产系数展开'!J77</x:f>
        <x:v>0</x:v>
      </x:c>
      <x:c r="W12" s="38" t="n">
        <x:f>'副产系数展开'!J78</x:f>
        <x:v>0</x:v>
      </x:c>
      <x:c r="X12" s="38" t="n">
        <x:f>'副产系数展开'!J79</x:f>
        <x:v>0</x:v>
      </x:c>
      <x:c r="Y12" s="38" t="n">
        <x:f>'副产系数展开'!J80</x:f>
        <x:v>0</x:v>
      </x:c>
      <x:c r="Z12" s="38" t="n">
        <x:f>'副产系数展开'!J81</x:f>
        <x:v>0.05797580236180541</x:v>
      </x:c>
      <x:c r="AA12" s="38" t="n">
        <x:f>'副产系数展开'!J82</x:f>
        <x:v>0</x:v>
      </x:c>
      <x:c r="AB12" s="38" t="n">
        <x:f>'副产系数展开'!J83</x:f>
        <x:v>0</x:v>
      </x:c>
      <x:c r="AC12" s="38" t="n">
        <x:f>'副产系数展开'!J84</x:f>
        <x:v>0</x:v>
      </x:c>
      <x:c r="AD12" s="38" t="n">
        <x:f>'副产系数展开'!J85</x:f>
        <x:v>0.001913767580455771</x:v>
      </x:c>
      <x:c r="AE12" s="38" t="n">
        <x:f>'副产系数展开'!J86</x:f>
        <x:v>0.0032294827920191136</x:v>
      </x:c>
      <x:c r="AF12" s="38" t="n">
        <x:f>'副产系数展开'!J87</x:f>
        <x:v>0.0011482605482734626</x:v>
      </x:c>
      <x:c r="AG12" s="38" t="n">
        <x:f>'副产系数展开'!J88</x:f>
        <x:v>0.0012664638400074956</x:v>
      </x:c>
      <x:c r="AH12" s="38" t="n">
        <x:f>'副产系数展开'!J89</x:f>
        <x:v>0</x:v>
      </x:c>
      <x:c r="AI12" s="38" t="n">
        <x:f>'副产系数展开'!J91</x:f>
        <x:v>0</x:v>
      </x:c>
      <x:c r="AJ12" s="38" t="n">
        <x:f>'副产系数展开'!J92</x:f>
        <x:v>0</x:v>
      </x:c>
      <x:c r="AK12" s="38" t="n">
        <x:f>'副产系数展开'!J93</x:f>
        <x:v>0</x:v>
      </x:c>
      <x:c r="AL12" s="38" t="n">
        <x:f>'副产系数展开'!J94</x:f>
        <x:v>0</x:v>
      </x:c>
      <x:c r="AM12" s="38" t="n">
        <x:f>'副产系数展开'!J95</x:f>
        <x:v>0</x:v>
      </x:c>
      <x:c r="AN12" s="38" t="n">
        <x:f>'副产系数展开'!J96</x:f>
        <x:v>0</x:v>
      </x:c>
      <x:c r="AO12" s="38" t="n">
        <x:f>'副产系数展开'!J97</x:f>
        <x:v>0</x:v>
      </x:c>
      <x:c r="AP12" s="38" t="n">
        <x:f>'副产系数展开'!J98</x:f>
        <x:v>0</x:v>
      </x:c>
      <x:c r="AQ12" s="38" t="n">
        <x:f>'副产系数展开'!J99</x:f>
        <x:v>0</x:v>
      </x:c>
      <x:c r="AR12" s="38" t="n">
        <x:f>'副产系数展开'!J100</x:f>
        <x:v>0</x:v>
      </x:c>
    </x:row>
    <x:row r="13" ht="40" customHeight="1">
      <x:c r="A13" s="22" t="str">
        <x:v>O2</x:v>
      </x:c>
      <x:c r="B13" s="22" t="str">
        <x:v>全部上游与终端的毛副产量</x:v>
      </x:c>
      <x:c r="C13" s="22" t="str">
        <x:v>kg</x:v>
      </x:c>
      <x:c r="D13" s="38" t="n">
        <x:f>'副产系数展开'!K59</x:f>
        <x:v>0</x:v>
      </x:c>
      <x:c r="E13" s="38" t="n">
        <x:f>'副产系数展开'!K60</x:f>
        <x:v>0</x:v>
      </x:c>
      <x:c r="F13" s="38" t="n">
        <x:f>'副产系数展开'!K61</x:f>
        <x:v>0</x:v>
      </x:c>
      <x:c r="G13" s="38" t="n">
        <x:f>'副产系数展开'!K62</x:f>
        <x:v>0</x:v>
      </x:c>
      <x:c r="H13" s="38" t="n">
        <x:f>'副产系数展开'!K63</x:f>
        <x:v>0.434202733137922</x:v>
      </x:c>
      <x:c r="I13" s="38" t="n">
        <x:f>'副产系数展开'!K64</x:f>
        <x:v>0.25177037106977623</x:v>
      </x:c>
      <x:c r="J13" s="38" t="n">
        <x:f>'副产系数展开'!K65</x:f>
        <x:v>3.4217580380694375</x:v>
      </x:c>
      <x:c r="K13" s="38" t="n">
        <x:f>'副产系数展开'!K66</x:f>
        <x:v>1.7260296140464442</x:v>
      </x:c>
      <x:c r="L13" s="38" t="n">
        <x:f>'副产系数展开'!K67</x:f>
        <x:v>3.4217580380694375</x:v>
      </x:c>
      <x:c r="M13" s="38" t="n">
        <x:f>'副产系数展开'!K68</x:f>
        <x:v>0.434202733137922</x:v>
      </x:c>
      <x:c r="N13" s="38" t="n">
        <x:f>'副产系数展开'!K69</x:f>
        <x:v>5.933294277069018</x:v>
      </x:c>
      <x:c r="O13" s="38" t="n">
        <x:f>'副产系数展开'!K70</x:f>
        <x:v>5.018171034923417</x:v>
      </x:c>
      <x:c r="P13" s="38" t="n">
        <x:f>'副产系数展开'!K71</x:f>
        <x:v>26.523255096619497</x:v>
      </x:c>
      <x:c r="Q13" s="38" t="n">
        <x:f>'副产系数展开'!K72</x:f>
        <x:v>3.6289278246655106</x:v>
      </x:c>
      <x:c r="R13" s="38" t="n">
        <x:f>'副产系数展开'!K73</x:f>
        <x:v>47.597342465070966</x:v>
      </x:c>
      <x:c r="S13" s="38" t="n">
        <x:f>'副产系数展开'!K74</x:f>
        <x:v>26.907630031198625</x:v>
      </x:c>
      <x:c r="T13" s="38" t="n">
        <x:f>'副产系数展开'!K75</x:f>
        <x:v>10.050610211921214</x:v>
      </x:c>
      <x:c r="U13" s="38" t="n">
        <x:f>'副产系数展开'!K76</x:f>
        <x:v>12.451018623637166</x:v>
      </x:c>
      <x:c r="V13" s="38" t="n">
        <x:f>'副产系数展开'!K77</x:f>
        <x:v>0.4425633482455232</x:v>
      </x:c>
      <x:c r="W13" s="38" t="n">
        <x:f>'副产系数展开'!K78</x:f>
        <x:v>0.8857679044697085</x:v>
      </x:c>
      <x:c r="X13" s="38" t="n">
        <x:f>'副产系数展开'!K79</x:f>
        <x:v>0</x:v>
      </x:c>
      <x:c r="Y13" s="38" t="n">
        <x:f>'副产系数展开'!K80</x:f>
        <x:v>0.2925112441037017</x:v>
      </x:c>
      <x:c r="Z13" s="38" t="n">
        <x:f>'副产系数展开'!K81</x:f>
        <x:v>0.20863725277113673</x:v>
      </x:c>
      <x:c r="AA13" s="38" t="n">
        <x:f>'副产系数展开'!K82</x:f>
        <x:v>0</x:v>
      </x:c>
      <x:c r="AB13" s="38" t="n">
        <x:f>'副产系数展开'!K83</x:f>
        <x:v>0</x:v>
      </x:c>
      <x:c r="AC13" s="38" t="n">
        <x:f>'副产系数展开'!K84</x:f>
        <x:v>0</x:v>
      </x:c>
      <x:c r="AD13" s="38" t="n">
        <x:f>'副产系数展开'!K85</x:f>
        <x:v>0.09137716855857787</x:v>
      </x:c>
      <x:c r="AE13" s="38" t="n">
        <x:f>'副产系数展开'!K86</x:f>
        <x:v>0.23558176269008357</x:v>
      </x:c>
      <x:c r="AF13" s="38" t="n">
        <x:f>'副产系数展开'!K87</x:f>
        <x:v>0.04568858427928894</x:v>
      </x:c>
      <x:c r="AG13" s="38" t="n">
        <x:f>'副产系数展开'!K88</x:f>
        <x:v>0.07054854925478439</x:v>
      </x:c>
      <x:c r="AH13" s="38" t="n">
        <x:f>'副产系数展开'!K89</x:f>
        <x:v>12.732952493751373</x:v>
      </x:c>
      <x:c r="AI13" s="38" t="n">
        <x:f>'副产系数展开'!K91</x:f>
        <x:v>3.709938077327462</x:v>
      </x:c>
      <x:c r="AJ13" s="38" t="n">
        <x:f>'副产系数展开'!K92</x:f>
        <x:v>2.9037045457670647</x:v>
      </x:c>
      <x:c r="AK13" s="38" t="n">
        <x:f>'副产系数展开'!K93</x:f>
        <x:v>0.868405466275844</x:v>
      </x:c>
      <x:c r="AL13" s="38" t="n">
        <x:f>'副产系数展开'!K94</x:f>
        <x:v>10.804363201506385</x:v>
      </x:c>
      <x:c r="AM13" s="38" t="n">
        <x:f>'副产系数展开'!K95</x:f>
        <x:v>14.183725556735673</x:v>
      </x:c>
      <x:c r="AN13" s="38" t="n">
        <x:f>'副产系数展开'!K96</x:f>
        <x:v>3.9890294832637294</x:v>
      </x:c>
      <x:c r="AO13" s="38" t="n">
        <x:f>'副产系数展开'!K97</x:f>
        <x:v>7.936011904761905</x:v>
      </x:c>
      <x:c r="AP13" s="38" t="n">
        <x:f>'副产系数展开'!K98</x:f>
        <x:v>0</x:v>
      </x:c>
      <x:c r="AQ13" s="38" t="n">
        <x:f>'副产系数展开'!K99</x:f>
        <x:v>12.600630849297946</x:v>
      </x:c>
      <x:c r="AR13" s="38" t="n">
        <x:f>'副产系数展开'!K100</x:f>
        <x:v>27.57705435676836</x:v>
      </x:c>
    </x:row>
    <x:row r="14" ht="40" customHeight="1">
      <x:c r="A14" s="22" t="str">
        <x:v>SO2</x:v>
      </x:c>
      <x:c r="B14" s="22" t="str">
        <x:v>全部上游与终端的毛副产量</x:v>
      </x:c>
      <x:c r="C14" s="22" t="str">
        <x:v>kg</x:v>
      </x:c>
      <x:c r="D14" s="38" t="n">
        <x:f>'副产系数展开'!L59</x:f>
        <x:v>0</x:v>
      </x:c>
      <x:c r="E14" s="38" t="n">
        <x:f>'副产系数展开'!L60</x:f>
        <x:v>0</x:v>
      </x:c>
      <x:c r="F14" s="38" t="n">
        <x:f>'副产系数展开'!L61</x:f>
        <x:v>0</x:v>
      </x:c>
      <x:c r="G14" s="38" t="n">
        <x:f>'副产系数展开'!L62</x:f>
        <x:v>0</x:v>
      </x:c>
      <x:c r="H14" s="38" t="n">
        <x:f>'副产系数展开'!L63</x:f>
        <x:v>0</x:v>
      </x:c>
      <x:c r="I14" s="38" t="n">
        <x:f>'副产系数展开'!L64</x:f>
        <x:v>0</x:v>
      </x:c>
      <x:c r="J14" s="38" t="n">
        <x:f>'副产系数展开'!L65</x:f>
        <x:v>0</x:v>
      </x:c>
      <x:c r="K14" s="38" t="n">
        <x:f>'副产系数展开'!L66</x:f>
        <x:v>0</x:v>
      </x:c>
      <x:c r="L14" s="38" t="n">
        <x:f>'副产系数展开'!L67</x:f>
        <x:v>0</x:v>
      </x:c>
      <x:c r="M14" s="38" t="n">
        <x:f>'副产系数展开'!L68</x:f>
        <x:v>0</x:v>
      </x:c>
      <x:c r="N14" s="38" t="n">
        <x:f>'副产系数展开'!L69</x:f>
        <x:v>0</x:v>
      </x:c>
      <x:c r="O14" s="38" t="n">
        <x:f>'副产系数展开'!L70</x:f>
        <x:v>0</x:v>
      </x:c>
      <x:c r="P14" s="38" t="n">
        <x:f>'副产系数展开'!L71</x:f>
        <x:v>0</x:v>
      </x:c>
      <x:c r="Q14" s="38" t="n">
        <x:f>'副产系数展开'!L72</x:f>
        <x:v>0</x:v>
      </x:c>
      <x:c r="R14" s="38" t="n">
        <x:f>'副产系数展开'!L73</x:f>
        <x:v>0</x:v>
      </x:c>
      <x:c r="S14" s="38" t="n">
        <x:f>'副产系数展开'!L74</x:f>
        <x:v>0</x:v>
      </x:c>
      <x:c r="T14" s="38" t="n">
        <x:f>'副产系数展开'!L75</x:f>
        <x:v>0</x:v>
      </x:c>
      <x:c r="U14" s="38" t="n">
        <x:f>'副产系数展开'!L76</x:f>
        <x:v>0</x:v>
      </x:c>
      <x:c r="V14" s="38" t="n">
        <x:f>'副产系数展开'!L77</x:f>
        <x:v>0</x:v>
      </x:c>
      <x:c r="W14" s="38" t="n">
        <x:f>'副产系数展开'!L78</x:f>
        <x:v>0</x:v>
      </x:c>
      <x:c r="X14" s="38" t="n">
        <x:f>'副产系数展开'!L79</x:f>
        <x:v>0</x:v>
      </x:c>
      <x:c r="Y14" s="38" t="n">
        <x:f>'副产系数展开'!L80</x:f>
        <x:v>0</x:v>
      </x:c>
      <x:c r="Z14" s="38" t="n">
        <x:f>'副产系数展开'!L81</x:f>
        <x:v>0</x:v>
      </x:c>
      <x:c r="AA14" s="38" t="n">
        <x:f>'副产系数展开'!L82</x:f>
        <x:v>0</x:v>
      </x:c>
      <x:c r="AB14" s="38" t="n">
        <x:f>'副产系数展开'!L83</x:f>
        <x:v>0</x:v>
      </x:c>
      <x:c r="AC14" s="38" t="n">
        <x:f>'副产系数展开'!L84</x:f>
        <x:v>0</x:v>
      </x:c>
      <x:c r="AD14" s="38" t="n">
        <x:f>'副产系数展开'!L85</x:f>
        <x:v>0</x:v>
      </x:c>
      <x:c r="AE14" s="38" t="n">
        <x:f>'副产系数展开'!L86</x:f>
        <x:v>0</x:v>
      </x:c>
      <x:c r="AF14" s="38" t="n">
        <x:f>'副产系数展开'!L87</x:f>
        <x:v>0</x:v>
      </x:c>
      <x:c r="AG14" s="38" t="n">
        <x:f>'副产系数展开'!L88</x:f>
        <x:v>0</x:v>
      </x:c>
      <x:c r="AH14" s="38" t="n">
        <x:f>'副产系数展开'!L89</x:f>
        <x:v>0</x:v>
      </x:c>
      <x:c r="AI14" s="38" t="n">
        <x:f>'副产系数展开'!L91</x:f>
        <x:v>0.0023754174075399422</x:v>
      </x:c>
      <x:c r="AJ14" s="38" t="n">
        <x:f>'副产系数展开'!L92</x:f>
        <x:v>0</x:v>
      </x:c>
      <x:c r="AK14" s="38" t="n">
        <x:f>'副产系数展开'!L93</x:f>
        <x:v>0</x:v>
      </x:c>
      <x:c r="AL14" s="38" t="n">
        <x:f>'副产系数展开'!L94</x:f>
        <x:v>0</x:v>
      </x:c>
      <x:c r="AM14" s="38" t="n">
        <x:f>'副产系数展开'!L95</x:f>
        <x:v>0</x:v>
      </x:c>
      <x:c r="AN14" s="38" t="n">
        <x:f>'副产系数展开'!L96</x:f>
        <x:v>0</x:v>
      </x:c>
      <x:c r="AO14" s="38" t="n">
        <x:f>'副产系数展开'!L97</x:f>
        <x:v>0</x:v>
      </x:c>
      <x:c r="AP14" s="38" t="n">
        <x:f>'副产系数展开'!L98</x:f>
        <x:v>0</x:v>
      </x:c>
      <x:c r="AQ14" s="38" t="n">
        <x:f>'副产系数展开'!L99</x:f>
        <x:v>0</x:v>
      </x:c>
      <x:c r="AR14" s="38" t="n">
        <x:f>'副产系数展开'!L100</x:f>
        <x:v>0</x:v>
      </x:c>
    </x:row>
    <x:row r="15" ht="40" customHeight="1">
      <x:c r="A15" s="22" t="str">
        <x:v>gypsum</x:v>
      </x:c>
      <x:c r="B15" s="22" t="str">
        <x:v>全部上游与终端的毛副产量</x:v>
      </x:c>
      <x:c r="C15" s="22" t="str">
        <x:v>kg</x:v>
      </x:c>
      <x:c r="D15" s="38" t="n">
        <x:f>'副产系数展开'!M59</x:f>
        <x:v>0</x:v>
      </x:c>
      <x:c r="E15" s="38" t="n">
        <x:f>'副产系数展开'!M60</x:f>
        <x:v>0</x:v>
      </x:c>
      <x:c r="F15" s="38" t="n">
        <x:f>'副产系数展开'!M61</x:f>
        <x:v>0</x:v>
      </x:c>
      <x:c r="G15" s="38" t="n">
        <x:f>'副产系数展开'!M62</x:f>
        <x:v>0</x:v>
      </x:c>
      <x:c r="H15" s="38" t="n">
        <x:f>'副产系数展开'!M63</x:f>
        <x:v>0</x:v>
      </x:c>
      <x:c r="I15" s="38" t="n">
        <x:f>'副产系数展开'!M64</x:f>
        <x:v>0</x:v>
      </x:c>
      <x:c r="J15" s="38" t="n">
        <x:f>'副产系数展开'!M65</x:f>
        <x:v>0</x:v>
      </x:c>
      <x:c r="K15" s="38" t="n">
        <x:f>'副产系数展开'!M66</x:f>
        <x:v>0</x:v>
      </x:c>
      <x:c r="L15" s="38" t="n">
        <x:f>'副产系数展开'!M67</x:f>
        <x:v>0</x:v>
      </x:c>
      <x:c r="M15" s="38" t="n">
        <x:f>'副产系数展开'!M68</x:f>
        <x:v>0</x:v>
      </x:c>
      <x:c r="N15" s="38" t="n">
        <x:f>'副产系数展开'!M69</x:f>
        <x:v>0</x:v>
      </x:c>
      <x:c r="O15" s="38" t="n">
        <x:f>'副产系数展开'!M70</x:f>
        <x:v>0</x:v>
      </x:c>
      <x:c r="P15" s="38" t="n">
        <x:f>'副产系数展开'!M71</x:f>
        <x:v>0</x:v>
      </x:c>
      <x:c r="Q15" s="38" t="n">
        <x:f>'副产系数展开'!M72</x:f>
        <x:v>0</x:v>
      </x:c>
      <x:c r="R15" s="38" t="n">
        <x:f>'副产系数展开'!M73</x:f>
        <x:v>0</x:v>
      </x:c>
      <x:c r="S15" s="38" t="n">
        <x:f>'副产系数展开'!M74</x:f>
        <x:v>0</x:v>
      </x:c>
      <x:c r="T15" s="38" t="n">
        <x:f>'副产系数展开'!M75</x:f>
        <x:v>0</x:v>
      </x:c>
      <x:c r="U15" s="38" t="n">
        <x:f>'副产系数展开'!M76</x:f>
        <x:v>0</x:v>
      </x:c>
      <x:c r="V15" s="38" t="n">
        <x:f>'副产系数展开'!M77</x:f>
        <x:v>0</x:v>
      </x:c>
      <x:c r="W15" s="38" t="n">
        <x:f>'副产系数展开'!M78</x:f>
        <x:v>0</x:v>
      </x:c>
      <x:c r="X15" s="38" t="n">
        <x:f>'副产系数展开'!M79</x:f>
        <x:v>0</x:v>
      </x:c>
      <x:c r="Y15" s="38" t="n">
        <x:f>'副产系数展开'!M80</x:f>
        <x:v>0</x:v>
      </x:c>
      <x:c r="Z15" s="38" t="n">
        <x:f>'副产系数展开'!M81</x:f>
        <x:v>2.4945881330145623</x:v>
      </x:c>
      <x:c r="AA15" s="38" t="n">
        <x:f>'副产系数展开'!M82</x:f>
        <x:v>0</x:v>
      </x:c>
      <x:c r="AB15" s="38" t="n">
        <x:f>'副产系数展开'!M83</x:f>
        <x:v>0</x:v>
      </x:c>
      <x:c r="AC15" s="38" t="n">
        <x:f>'副产系数展开'!M84</x:f>
        <x:v>0</x:v>
      </x:c>
      <x:c r="AD15" s="38" t="n">
        <x:f>'副产系数展开'!M85</x:f>
        <x:v>0.08234576670038672</x:v>
      </x:c>
      <x:c r="AE15" s="38" t="n">
        <x:f>'副产系数展开'!M86</x:f>
        <x:v>0.13895848130690258</x:v>
      </x:c>
      <x:c r="AF15" s="38" t="n">
        <x:f>'副产系数展开'!M87</x:f>
        <x:v>0.04940746002023203</x:v>
      </x:c>
      <x:c r="AG15" s="38" t="n">
        <x:f>'副产系数展开'!M88</x:f>
        <x:v>0.05449352208113828</x:v>
      </x:c>
      <x:c r="AH15" s="38" t="n">
        <x:f>'副产系数展开'!M89</x:f>
        <x:v>0</x:v>
      </x:c>
      <x:c r="AI15" s="38" t="n">
        <x:f>'副产系数展开'!M91</x:f>
        <x:v>0</x:v>
      </x:c>
      <x:c r="AJ15" s="38" t="n">
        <x:f>'副产系数展开'!M92</x:f>
        <x:v>0</x:v>
      </x:c>
      <x:c r="AK15" s="38" t="n">
        <x:f>'副产系数展开'!M93</x:f>
        <x:v>0</x:v>
      </x:c>
      <x:c r="AL15" s="38" t="n">
        <x:f>'副产系数展开'!M94</x:f>
        <x:v>0</x:v>
      </x:c>
      <x:c r="AM15" s="38" t="n">
        <x:f>'副产系数展开'!M95</x:f>
        <x:v>0</x:v>
      </x:c>
      <x:c r="AN15" s="38" t="n">
        <x:f>'副产系数展开'!M96</x:f>
        <x:v>0</x:v>
      </x:c>
      <x:c r="AO15" s="38" t="n">
        <x:f>'副产系数展开'!M97</x:f>
        <x:v>0</x:v>
      </x:c>
      <x:c r="AP15" s="38" t="n">
        <x:f>'副产系数展开'!M98</x:f>
        <x:v>0</x:v>
      </x:c>
      <x:c r="AQ15" s="38" t="n">
        <x:f>'副产系数展开'!M99</x:f>
        <x:v>0</x:v>
      </x:c>
      <x:c r="AR15" s="38" t="n">
        <x:f>'副产系数展开'!M100</x:f>
        <x:v>0</x:v>
      </x:c>
    </x:row>
  </x:sheetData>
  <x:mergeCells>
    <x:mergeCell ref="A1:AR1"/>
    <x:mergeCell ref="A2:AR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0" hidden="0" customWidth="1"/>
  </x:cols>
  <x:sheetData>
    <x:row r="1" ht="34" customHeight="1">
      <x:c r="A1" s="4" t="str">
        <x:v>作物假设记录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0" customHeight="1">
      <x:c r="A2" s="9" t="str">
        <x:v>参数全为本回答H假设，不是火星或NASA实测农艺定额。作物营养配方可能过供Ca/S，不能用于实际栽培；生物资本与光热服务单列。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3" ht="20" customHeight="1">
      <x:c r="A3" s="9"/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</x:row>
    <x:row r="5" ht="38" customHeight="1">
      <x:c r="A5" s="15" t="str">
        <x:v>ID</x:v>
      </x:c>
      <x:c r="B5" s="15" t="str">
        <x:v>作物</x:v>
      </x:c>
      <x:c r="C5" s="15" t="str">
        <x:v>收获指数H</x:v>
      </x:c>
      <x:c r="D5" s="15" t="str">
        <x:v>C质量分数H</x:v>
      </x:c>
      <x:c r="E5" s="15" t="str">
        <x:v>H质量分数H</x:v>
      </x:c>
      <x:c r="F5" s="15" t="str">
        <x:v>N目标H</x:v>
      </x:c>
      <x:c r="G5" s="15" t="str">
        <x:v>P目标H</x:v>
      </x:c>
      <x:c r="H5" s="15" t="str">
        <x:v>K目标H</x:v>
      </x:c>
      <x:c r="I5" s="15" t="str">
        <x:v>Ca目标H</x:v>
      </x:c>
      <x:c r="J5" s="15" t="str">
        <x:v>Mg目标H</x:v>
      </x:c>
      <x:c r="K5" s="15" t="str">
        <x:v>周期/日H</x:v>
      </x:c>
      <x:c r="L5" s="15" t="str">
        <x:v>蒸腾水kgH</x:v>
      </x:c>
      <x:c r="M5" s="15" t="str">
        <x:v>冷凝回收率H</x:v>
      </x:c>
      <x:c r="N5" s="15" t="str">
        <x:v>备注</x:v>
      </x:c>
    </x:row>
    <x:row r="6" ht="40" customHeight="1">
      <x:c r="A6" s="22" t="str">
        <x:v>A07</x:v>
      </x:c>
      <x:c r="B6" s="22" t="str">
        <x:v>小麦可食干物质</x:v>
      </x:c>
      <x:c r="C6" s="22" t="n">
        <x:v>0.45</x:v>
      </x:c>
      <x:c r="D6" s="22" t="n">
        <x:v>0.45</x:v>
      </x:c>
      <x:c r="E6" s="22" t="n">
        <x:v>0.065</x:v>
      </x:c>
      <x:c r="F6" s="22" t="n">
        <x:v>0.024</x:v>
      </x:c>
      <x:c r="G6" s="22" t="n">
        <x:v>0.004</x:v>
      </x:c>
      <x:c r="H6" s="22" t="n">
        <x:v>0.025</x:v>
      </x:c>
      <x:c r="I6" s="22" t="n">
        <x:v>0.007</x:v>
      </x:c>
      <x:c r="J6" s="22" t="n">
        <x:v>0.003</x:v>
      </x:c>
      <x:c r="K6" s="22" t="n">
        <x:v>80</x:v>
      </x:c>
      <x:c r="L6" s="22" t="n">
        <x:v>444.44444444444446</x:v>
      </x:c>
      <x:c r="M6" s="22" t="n">
        <x:v>0.98</x:v>
      </x:c>
      <x:c r="N6" s="22" t="str">
        <x:v>记录页；要改变需重新计算配方。盐平衡/呼吸/灰分尚未完成。</x:v>
      </x:c>
    </x:row>
    <x:row r="7" ht="40" customHeight="1">
      <x:c r="A7" s="22" t="str">
        <x:v>A08</x:v>
      </x:c>
      <x:c r="B7" s="22" t="str">
        <x:v>大豆可食干物质</x:v>
      </x:c>
      <x:c r="C7" s="22" t="n">
        <x:v>0.4</x:v>
      </x:c>
      <x:c r="D7" s="22" t="n">
        <x:v>0.48</x:v>
      </x:c>
      <x:c r="E7" s="22" t="n">
        <x:v>0.067</x:v>
      </x:c>
      <x:c r="F7" s="22" t="n">
        <x:v>0.055</x:v>
      </x:c>
      <x:c r="G7" s="22" t="n">
        <x:v>0.006</x:v>
      </x:c>
      <x:c r="H7" s="22" t="n">
        <x:v>0.028</x:v>
      </x:c>
      <x:c r="I7" s="22" t="n">
        <x:v>0.012</x:v>
      </x:c>
      <x:c r="J7" s="22" t="n">
        <x:v>0.004</x:v>
      </x:c>
      <x:c r="K7" s="22" t="n">
        <x:v>95</x:v>
      </x:c>
      <x:c r="L7" s="22" t="n">
        <x:v>500</x:v>
      </x:c>
      <x:c r="M7" s="22" t="n">
        <x:v>0.98</x:v>
      </x:c>
      <x:c r="N7" s="22" t="str">
        <x:v>记录页；要改变需重新计算配方。盐平衡/呼吸/灰分尚未完成。</x:v>
      </x:c>
    </x:row>
    <x:row r="8" ht="40" customHeight="1">
      <x:c r="A8" s="22" t="str">
        <x:v>A09</x:v>
      </x:c>
      <x:c r="B8" s="22" t="str">
        <x:v>马铃薯可食干物质</x:v>
      </x:c>
      <x:c r="C8" s="22" t="n">
        <x:v>0.75</x:v>
      </x:c>
      <x:c r="D8" s="22" t="n">
        <x:v>0.44</x:v>
      </x:c>
      <x:c r="E8" s="22" t="n">
        <x:v>0.065</x:v>
      </x:c>
      <x:c r="F8" s="22" t="n">
        <x:v>0.02</x:v>
      </x:c>
      <x:c r="G8" s="22" t="n">
        <x:v>0.004</x:v>
      </x:c>
      <x:c r="H8" s="22" t="n">
        <x:v>0.03</x:v>
      </x:c>
      <x:c r="I8" s="22" t="n">
        <x:v>0.008</x:v>
      </x:c>
      <x:c r="J8" s="22" t="n">
        <x:v>0.003</x:v>
      </x:c>
      <x:c r="K8" s="22" t="n">
        <x:v>100</x:v>
      </x:c>
      <x:c r="L8" s="22" t="n">
        <x:v>266.66666666666663</x:v>
      </x:c>
      <x:c r="M8" s="22" t="n">
        <x:v>0.98</x:v>
      </x:c>
      <x:c r="N8" s="22" t="str">
        <x:v>记录页；要改变需重新计算配方。盐平衡/呼吸/灰分尚未完成。</x:v>
      </x:c>
    </x:row>
    <x:row r="9" ht="40" customHeight="1">
      <x:c r="A9" s="22" t="str">
        <x:v>A10</x:v>
      </x:c>
      <x:c r="B9" s="22" t="str">
        <x:v>叶菜可食干物质</x:v>
      </x:c>
      <x:c r="C9" s="22" t="n">
        <x:v>0.85</x:v>
      </x:c>
      <x:c r="D9" s="22" t="n">
        <x:v>0.4</x:v>
      </x:c>
      <x:c r="E9" s="22" t="n">
        <x:v>0.06</x:v>
      </x:c>
      <x:c r="F9" s="22" t="n">
        <x:v>0.035</x:v>
      </x:c>
      <x:c r="G9" s="22" t="n">
        <x:v>0.005</x:v>
      </x:c>
      <x:c r="H9" s="22" t="n">
        <x:v>0.05</x:v>
      </x:c>
      <x:c r="I9" s="22" t="n">
        <x:v>0.02</x:v>
      </x:c>
      <x:c r="J9" s="22" t="n">
        <x:v>0.005</x:v>
      </x:c>
      <x:c r="K9" s="22" t="n">
        <x:v>30</x:v>
      </x:c>
      <x:c r="L9" s="22" t="n">
        <x:v>235.29411764705884</x:v>
      </x:c>
      <x:c r="M9" s="22" t="n">
        <x:v>0.98</x:v>
      </x:c>
      <x:c r="N9" s="22" t="str">
        <x:v>记录页；要改变需重新计算配方。盐平衡/呼吸/灰分尚未完成。</x:v>
      </x:c>
    </x:row>
  </x:sheetData>
  <x:mergeCells>
    <x:mergeCell ref="A1:N1"/>
    <x:mergeCell ref="A2:N3"/>
  </x:mergeCells>
  <x:pageMargins left="0.7" right="0.7" top="0.75" bottom="0.75" header="0.3" footer="0.3"/>
  <x:tableParts count="1">
    <x:tablePart xmlns:r="http://schemas.openxmlformats.org/officeDocument/2006/relationships" r:id="R60ad4c0894074d3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3" hidden="0" customWidth="1"/>
    <x:col min="3" max="3" width="29" hidden="0" customWidth="1"/>
    <x:col min="4" max="4" width="55" hidden="0" customWidth="1"/>
    <x:col min="5" max="5" width="30" hidden="0" customWidth="1"/>
    <x:col min="6" max="6" width="55" hidden="0" customWidth="1"/>
  </x:cols>
  <x:sheetData>
    <x:row r="1" ht="34" customHeight="1">
      <x:c r="A1" s="4" t="str">
        <x:v>运行服务</x:v>
      </x:c>
      <x:c r="B1" s="4"/>
      <x:c r="C1" s="4"/>
      <x:c r="D1" s="4"/>
      <x:c r="E1" s="4"/>
      <x:c r="F1" s="4"/>
    </x:row>
    <x:row r="2" ht="20" customHeight="1">
      <x:c r="A2" s="9" t="str">
        <x:v>生产设备和运行设备的资源消耗分开。kW是功率，kWh是能量；能量效率不能从设备质量推出。</x:v>
      </x:c>
      <x:c r="B2" s="9"/>
      <x:c r="C2" s="9"/>
      <x:c r="D2" s="9"/>
      <x:c r="E2" s="9"/>
      <x:c r="F2" s="9"/>
    </x:row>
    <x:row r="3" ht="20" customHeight="1">
      <x:c r="A3" s="9"/>
      <x:c r="B3" s="9"/>
      <x:c r="C3" s="9"/>
      <x:c r="D3" s="9"/>
      <x:c r="E3" s="9"/>
      <x:c r="F3" s="9"/>
    </x:row>
    <x:row r="5" ht="38" customHeight="1">
      <x:c r="A5" s="15" t="str">
        <x:v>ID</x:v>
      </x:c>
      <x:c r="B5" s="15" t="str">
        <x:v>服务</x:v>
      </x:c>
      <x:c r="C5" s="15" t="str">
        <x:v>一单位产出</x:v>
      </x:c>
      <x:c r="D5" s="15" t="str">
        <x:v>运行投入关系</x:v>
      </x:c>
      <x:c r="E5" s="15" t="str">
        <x:v>必要资本</x:v>
      </x:c>
      <x:c r="F5" s="15" t="str">
        <x:v>限制</x:v>
      </x:c>
    </x:row>
    <x:row r="6" ht="40" customHeight="1">
      <x:c r="A6" s="22" t="str">
        <x:v>OP01</x:v>
      </x:c>
      <x:c r="B6" s="22" t="str">
        <x:v>光伏发电</x:v>
      </x:c>
      <x:c r="C6" s="22" t="str">
        <x:v>1kWh电</x:v>
      </x:c>
      <x:c r="D6" s="22" t="str">
        <x:v>入射到板面的光能=3.6/η_PV MJ；η假设0.18→20MJ</x:v>
      </x:c>
      <x:c r="E6" s="22" t="str">
        <x:v>E01面积和电气配套</x:v>
      </x:c>
      <x:c r="F6" s="22" t="str">
        <x:v>590W/m2为大气外参考；用当地逐时板面辐照度积分。硬件矩阵太阳光用量为0并不表示发电不用太阳。</x:v>
      </x:c>
    </x:row>
    <x:row r="7" ht="40" customHeight="1">
      <x:c r="A7" s="22" t="str">
        <x:v>OP02</x:v>
      </x:c>
      <x:c r="B7" s="22" t="str">
        <x:v>太阳集热</x:v>
      </x:c>
      <x:c r="C7" s="22" t="str">
        <x:v>1kWh热</x:v>
      </x:c>
      <x:c r="D7" s="22" t="str">
        <x:v>板面光能=3.6/η_th MJ；η假设0.5→7.2MJ</x:v>
      </x:c>
      <x:c r="E7" s="22" t="str">
        <x:v>E02面积</x:v>
      </x:c>
      <x:c r="F7" s="22" t="str">
        <x:v>热的温度等级必须匹配需求。</x:v>
      </x:c>
    </x:row>
    <x:row r="8" ht="40" customHeight="1">
      <x:c r="A8" s="22" t="str">
        <x:v>OP03</x:v>
      </x:c>
      <x:c r="B8" s="22" t="str">
        <x:v>储热放热</x:v>
      </x:c>
      <x:c r="C8" s="22" t="str">
        <x:v>1kWh可用热</x:v>
      </x:c>
      <x:c r="D8" s="22" t="str">
        <x:v>充热≥1/η_roundtrip kWh</x:v>
      </x:c>
      <x:c r="E8" s="22" t="str">
        <x:v>E03容量</x:v>
      </x:c>
      <x:c r="F8" s="22" t="str">
        <x:v>制造容量与运行充热分开；储热不是能源来源。</x:v>
      </x:c>
    </x:row>
    <x:row r="9" ht="40" customHeight="1">
      <x:c r="A9" s="22" t="str">
        <x:v>OP04</x:v>
      </x:c>
      <x:c r="B9" s="22" t="str">
        <x:v>电池放电</x:v>
      </x:c>
      <x:c r="C9" s="22" t="str">
        <x:v>1kWh电</x:v>
      </x:c>
      <x:c r="D9" s="22" t="str">
        <x:v>充电≥1/η_roundtrip kWh</x:v>
      </x:c>
      <x:c r="E9" s="22" t="str">
        <x:v>E09容量</x:v>
      </x:c>
      <x:c r="F9" s="22" t="str">
        <x:v>效率、SOC、功率、保温与维护水单列。</x:v>
      </x:c>
    </x:row>
    <x:row r="10" ht="40" customHeight="1">
      <x:c r="A10" s="22" t="str">
        <x:v>OP05</x:v>
      </x:c>
      <x:c r="B10" s="22" t="str">
        <x:v>甲烷氧气发电</x:v>
      </x:c>
      <x:c r="C10" s="22" t="str">
        <x:v>1kWh电</x:v>
      </x:c>
      <x:c r="D10" s="22" t="str">
        <x:v>甲烷=3.6/(LHV_CH4·η_gen)kg；氧气=4×甲烷（简化整数化学式）</x:v>
      </x:c>
      <x:c r="E10" s="22" t="str">
        <x:v>E10功率及散热</x:v>
      </x:c>
      <x:c r="F10" s="22" t="str">
        <x:v>LHV与效率输入另定；可回收CO2/H2O，不给出免费能量。</x:v>
      </x:c>
    </x:row>
    <x:row r="11" ht="40" customHeight="1">
      <x:c r="A11" s="22" t="str">
        <x:v>OP06</x:v>
      </x:c>
      <x:c r="B11" s="22" t="str">
        <x:v>水电解</x:v>
      </x:c>
      <x:c r="C11" s="22" t="str">
        <x:v>1kg H2 +7.9360kg O2</x:v>
      </x:c>
      <x:c r="D11" s="22" t="str">
        <x:v>8.9360kg水+正电能</x:v>
      </x:c>
      <x:c r="E11" s="22" t="str">
        <x:v>E04</x:v>
      </x:c>
      <x:c r="F11" s="22" t="str">
        <x:v>精确值以摩尔质量参数计算；电耗不能从质量矩阵推断。</x:v>
      </x:c>
    </x:row>
    <x:row r="12" ht="40" customHeight="1">
      <x:c r="A12" s="22" t="str">
        <x:v>OP07</x:v>
      </x:c>
      <x:c r="B12" s="22" t="str">
        <x:v>农业生长</x:v>
      </x:c>
      <x:c r="C12" s="22" t="str">
        <x:v>1kg可食干物质</x:v>
      </x:c>
      <x:c r="D12" s="22" t="str">
        <x:v>A07—A10资源+光照+热管理+种植面积×生长时长</x:v>
      </x:c>
      <x:c r="E12" s="22" t="str">
        <x:v>A11+围护+灯具/太阳导光</x:v>
      </x:c>
      <x:c r="F12" s="22" t="str">
        <x:v>同化CO2不同于从外界新增开采CO2；循环CO2库存另建。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d6467d993e464e71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80" hidden="0" customWidth="1"/>
  </x:cols>
  <x:sheetData>
    <x:row r="1" ht="34" customHeight="1">
      <x:c r="A1" s="4" t="str">
        <x:v>未闭合项</x:v>
      </x:c>
      <x:c r="B1" s="4"/>
      <x:c r="C1" s="4"/>
    </x:row>
    <x:row r="2" ht="20" customHeight="1">
      <x:c r="A2" s="9" t="str">
        <x:v>以下各项不得用0或一个无名“工业品”吞掉；材料满足不等于工艺、质量或运行条件满足。</x:v>
      </x:c>
      <x:c r="B2" s="9"/>
      <x:c r="C2" s="9"/>
    </x:row>
    <x:row r="3" ht="20" customHeight="1">
      <x:c r="A3" s="9"/>
      <x:c r="B3" s="9"/>
      <x:c r="C3" s="9"/>
    </x:row>
    <x:row r="5" ht="38" customHeight="1">
      <x:c r="A5" s="15" t="str">
        <x:v>涉及对象</x:v>
      </x:c>
      <x:c r="B5" s="15" t="str">
        <x:v>缺口</x:v>
      </x:c>
      <x:c r="C5" s="15" t="str">
        <x:v>模型要求</x:v>
      </x:c>
    </x:row>
    <x:row r="6" ht="40" customHeight="1">
      <x:c r="A6" s="22" t="str">
        <x:v>所有矿物列</x:v>
      </x:c>
      <x:c r="B6" s="22" t="str">
        <x:v>矿山勘探与真实品位</x:v>
      </x:c>
      <x:c r="C6" s="22" t="str">
        <x:v>没有确定坐标、矿体体积、矿相和回收试验；R矩阵为有效组分当量而非实际开挖量。</x:v>
      </x:c>
    </x:row>
    <x:row r="7" ht="40" customHeight="1">
      <x:c r="A7" s="22" t="str">
        <x:v>所有工艺</x:v>
      </x:c>
      <x:c r="B7" s="22" t="str">
        <x:v>能耗/热管理/功率/时间</x:v>
      </x:c>
      <x:c r="C7" s="22" t="str">
        <x:v>物料矩阵不包含全流程kWh、温度等级、设备寿命及工时；需要另建过程约束。</x:v>
      </x:c>
    </x:row>
    <x:row r="8" ht="40" customHeight="1">
      <x:c r="A8" s="22" t="str">
        <x:v>I05/I10/承压构件</x:v>
      </x:c>
      <x:c r="B8" s="22" t="str">
        <x:v>钢种及质量资格</x:v>
      </x:c>
      <x:c r="C8" s="22" t="str">
        <x:v>0.2%C假设不是压力容器钢/耐蚀钢；焊接、疲劳、无损检测和防腐未闭合。</x:v>
      </x:c>
    </x:row>
    <x:row r="9" ht="40" customHeight="1">
      <x:c r="A9" s="22" t="str">
        <x:v>I06/I12/E01/E09</x:v>
      </x:c>
      <x:c r="B9" s="22" t="str">
        <x:v>铜镍银锡矿</x:v>
      </x:c>
      <x:c r="C9" s="22" t="str">
        <x:v>元素可能存在不等于已知可采矿床；无矿则必须关停或显式进口。</x:v>
      </x:c>
    </x:row>
    <x:row r="10" ht="40" customHeight="1">
      <x:c r="A10" s="22" t="str">
        <x:v>I07/I08/I09</x:v>
      </x:c>
      <x:c r="B10" s="22" t="str">
        <x:v>聚合物/密封/润滑完整配方</x:v>
      </x:c>
      <x:c r="C10" s="22" t="str">
        <x:v>催化剂、分子量、交联剂、添加剂和性能尚未量化；主原料数值不是可执行配方。</x:v>
      </x:c>
    </x:row>
    <x:row r="11" ht="40" customHeight="1">
      <x:c r="A11" s="22" t="str">
        <x:v>E01/M_CELL</x:v>
      </x:c>
      <x:c r="B11" s="22" t="str">
        <x:v>完整光伏工艺清单</x:v>
      </x:c>
      <x:c r="C11" s="22" t="str">
        <x:v>半导体级纯化、掺杂活化、表面钝化、刻蚀、气体/液体循环及报废损耗待工程设计。X04只是占位。</x:v>
      </x:c>
    </x:row>
    <x:row r="12" ht="40" customHeight="1">
      <x:c r="A12" s="22" t="str">
        <x:v>M_AL</x:v>
      </x:c>
      <x:c r="B12" s="22" t="str">
        <x:v>铝电解辅助链</x:v>
      </x:c>
      <x:c r="C12" s="22" t="str">
        <x:v>氟盐电解质/电极/槽衬等未量化；R19在主矩阵为0不代表铝链不需要含氟辅材。</x:v>
      </x:c>
    </x:row>
    <x:row r="13" ht="40" customHeight="1">
      <x:c r="A13" s="22" t="str">
        <x:v>A07—A10</x:v>
      </x:c>
      <x:c r="B13" s="22" t="str">
        <x:v>作物营养与呼吸模型</x:v>
      </x:c>
      <x:c r="C13" s="22" t="str">
        <x:v>H系数是预核算占位，盐配方可能过供Ca/S/N；光合/呼吸及O2副产不可用此矩阵精确推导。</x:v>
      </x:c>
    </x:row>
    <x:row r="14" ht="40" customHeight="1">
      <x:c r="A14" s="22" t="str">
        <x:v>A07—A11</x:v>
      </x:c>
      <x:c r="B14" s="22" t="str">
        <x:v>种源与生态资本</x:v>
      </x:c>
      <x:c r="C14" s="22" t="str">
        <x:v>种子、种苗、菌种需初始引入并繁育；不得设为火星天然矿物原料。</x:v>
      </x:c>
    </x:row>
    <x:row r="15" ht="40" customHeight="1">
      <x:c r="A15" s="22" t="str">
        <x:v>A07—A11</x:v>
      </x:c>
      <x:c r="B15" s="22" t="str">
        <x:v>农业设施与服务</x:v>
      </x:c>
      <x:c r="C15" s="22" t="str">
        <x:v>温室、照明、消毒、CO2回收、温控和土地/周期容量未摊入每kg食品；不是无需这些投入。</x:v>
      </x:c>
    </x:row>
    <x:row r="16" ht="40" customHeight="1">
      <x:c r="A16" s="22" t="str">
        <x:v>E09</x:v>
      </x:c>
      <x:c r="B16" s="22" t="str">
        <x:v>电池性能</x:v>
      </x:c>
      <x:c r="C16" s="22" t="str">
        <x:v>示例BOM不保证额定容量/循环寿命/低温性能；需替换实测电极和整机资料。</x:v>
      </x:c>
    </x:row>
    <x:row r="17" ht="40" customHeight="1">
      <x:c r="A17" s="22" t="str">
        <x:v>E10</x:v>
      </x:c>
      <x:c r="B17" s="22" t="str">
        <x:v>甲烷氧气发电</x:v>
      </x:c>
      <x:c r="C17" s="22" t="str">
        <x:v>不能直接在纯氧中运行普通空气内燃机；工质稀释、材料温度和冷却必须独立设计。</x:v>
      </x:c>
    </x:row>
    <x:row r="18" ht="40" customHeight="1">
      <x:c r="A18" s="22" t="str">
        <x:v>全部矩阵</x:v>
      </x:c>
      <x:c r="B18" s="22" t="str">
        <x:v>副产品与循环</x:v>
      </x:c>
      <x:c r="C18" s="22" t="str">
        <x:v>单产品毛投入可用于独立任务核算；多产品联产必须使用过程投入/产出，避免水/氧/石膏/氢重复计数。</x:v>
      </x:c>
    </x:row>
    <x:row r="19" ht="40" customHeight="1">
      <x:c r="A19" s="22" t="str">
        <x:v>U矿藏</x:v>
      </x:c>
      <x:c r="B19" s="22" t="str">
        <x:v>存在性门控</x:v>
      </x:c>
      <x:c r="C19" s="22" t="str">
        <x:v>未知储量=null且默认未解锁；不得填0或无限，也不得自动加入库存。</x:v>
      </x:c>
    </x:row>
  </x:sheetData>
  <x:mergeCells>
    <x:mergeCell ref="A1:C1"/>
    <x:mergeCell ref="A2:C3"/>
  </x:mergeCells>
  <x:pageMargins left="0.7" right="0.7" top="0.75" bottom="0.75" header="0.3" footer="0.3"/>
  <x:tableParts count="1">
    <x:tablePart xmlns:r="http://schemas.openxmlformats.org/officeDocument/2006/relationships" r:id="Ref6dd1a74b7a4be6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3" hidden="0" customWidth="1"/>
    <x:col min="3" max="3" width="70" hidden="0" customWidth="1"/>
    <x:col min="4" max="4" width="75" hidden="0" customWidth="1"/>
  </x:cols>
  <x:sheetData>
    <x:row r="1" ht="34" customHeight="1">
      <x:c r="A1" s="4" t="str">
        <x:v>数据来源</x:v>
      </x:c>
      <x:c r="B1" s="4"/>
      <x:c r="C1" s="4"/>
      <x:c r="D1" s="4"/>
    </x:row>
    <x:row r="2" ht="20" customHeight="1">
      <x:c r="A2" s="9" t="str">
        <x:v>NASA/ESA/USGS/DOE来源只支持其明示的观测或路线；所有H质量、效率和品位均为本次设计假设。</x:v>
      </x:c>
      <x:c r="B2" s="9"/>
      <x:c r="C2" s="9"/>
      <x:c r="D2" s="9"/>
    </x:row>
    <x:row r="3" ht="20" customHeight="1">
      <x:c r="A3" s="9"/>
      <x:c r="B3" s="9"/>
      <x:c r="C3" s="9"/>
      <x:c r="D3" s="9"/>
    </x:row>
    <x:row r="5" ht="38" customHeight="1">
      <x:c r="A5" s="15" t="str">
        <x:v>ID</x:v>
      </x:c>
      <x:c r="B5" s="15" t="str">
        <x:v>来源</x:v>
      </x:c>
      <x:c r="C5" s="15" t="str">
        <x:v>URL</x:v>
      </x:c>
      <x:c r="D5" s="15" t="str">
        <x:v>支持范围与限制</x:v>
      </x:c>
    </x:row>
    <x:row r="6" ht="40" customHeight="1">
      <x:c r="A6" s="22" t="str">
        <x:v>S01</x:v>
      </x:c>
      <x:c r="B6" s="22" t="str">
        <x:v>NASA Mars Fact Sheet</x:v>
      </x:c>
      <x:c r="C6" s="22" t="str">
        <x:v>https://nssdc.gsfc.nasa.gov/planetary/factsheet/marsfact.html</x:v>
      </x:c>
      <x:c r="D6" s="22" t="str">
        <x:v>大气体积分数、平均摩尔质量43.49 g/mol、总质量约2.5e16 kg；非可采储量。</x:v>
      </x:c>
    </x:row>
    <x:row r="7" ht="40" customHeight="1">
      <x:c r="A7" s="22" t="str">
        <x:v>S02</x:v>
      </x:c>
      <x:c r="B7" s="22" t="str">
        <x:v>USGS SWIM probabilistic mapping (2026)</x:v>
      </x:c>
      <x:c r="C7" s="22" t="str">
        <x:v>https://www.usgs.gov/publications/subsurface-water-ice-mapping-mars-a-probabilistic-approach</x:v>
      </x:c>
      <x:c r="D7" s="22" t="str">
        <x:v>冰的概率分布；不是矿山储量证明。</x:v>
      </x:c>
    </x:row>
    <x:row r="8" ht="40" customHeight="1">
      <x:c r="A8" s="22" t="str">
        <x:v>S03</x:v>
      </x:c>
      <x:c r="B8" s="22" t="str">
        <x:v>NASA Utopia Planitia ice deposit</x:v>
      </x:c>
      <x:c r="C8" s="22" t="str">
        <x:v>https://science.nasa.gov/resource/location-of-large-subsurface-water-ice-deposit-in-utopia-planitia-mars/</x:v>
      </x:c>
      <x:c r="D8" s="22" t="str">
        <x:v>2016雷达估计约14300 km3水当量。</x:v>
      </x:c>
    </x:row>
    <x:row r="9" ht="40" customHeight="1">
      <x:c r="A9" s="22" t="str">
        <x:v>S04</x:v>
      </x:c>
      <x:c r="B9" s="22" t="str">
        <x:v>ESA suspected MFF ice</x:v>
      </x:c>
      <x:c r="C9" s="22" t="str">
        <x:v>https://www.esa.int/ESA_Multimedia/Images/2024/01/Map_of_suspected_ice_at_Mars_s_equator2</x:v>
      </x:c>
      <x:c r="D9" s="22" t="str">
        <x:v>2024雷达解释：22万—40万km3疑似冰，覆盖层300—600m。</x:v>
      </x:c>
    </x:row>
    <x:row r="10" ht="40" customHeight="1">
      <x:c r="A10" s="22" t="str">
        <x:v>S05</x:v>
      </x:c>
      <x:c r="B10" s="22" t="str">
        <x:v>Meslin et al. Science 2013 Table 1</x:v>
      </x:c>
      <x:c r="C10" s="22" t="str">
        <x:v>https://mars.nasa.gov/files/msl/Science-2013-Meslin-.pdf</x:v>
      </x:c>
      <x:c r="D10" s="22" t="str">
        <x:v>使用Portage APXS列；PDF页6，水和碳不计的归一化氧化物等效浓度。</x:v>
      </x:c>
    </x:row>
    <x:row r="11" ht="40" customHeight="1">
      <x:c r="A11" s="22" t="str">
        <x:v>S06</x:v>
      </x:c>
      <x:c r="B11" s="22" t="str">
        <x:v>Bish et al. Science 2013</x:v>
      </x:c>
      <x:c r="C11" s="22" t="str">
        <x:v>https://mars.nasa.gov/files/msl/Science-2013-Bish-.pdf</x:v>
      </x:c>
      <x:c r="D11" s="22" t="str">
        <x:v>Rocknest晶相相对丰度；不是整体土壤的同名百分比。</x:v>
      </x:c>
    </x:row>
    <x:row r="12" ht="40" customHeight="1">
      <x:c r="A12" s="22" t="str">
        <x:v>S07</x:v>
      </x:c>
      <x:c r="B12" s="22" t="str">
        <x:v>NASA Spirit silica-rich soil</x:v>
      </x:c>
      <x:c r="C12" s="22" t="str">
        <x:v>https://science.nasa.gov/photojournal/silica-rich-soil-found-by-spirit/</x:v>
      </x:c>
      <x:c r="D12" s="22" t="str">
        <x:v>局部约90%非晶二氧化硅，不是石英矿储量。</x:v>
      </x:c>
    </x:row>
    <x:row r="13" ht="40" customHeight="1">
      <x:c r="A13" s="22" t="str">
        <x:v>S08</x:v>
      </x:c>
      <x:c r="B13" s="22" t="str">
        <x:v>NASA nitrogen on Mars</x:v>
      </x:c>
      <x:c r="C13" s="22" t="str">
        <x:v>https://www.nasa.gov/solar-system/nasas-curiosity-rover-finds-biologically-useful-nitrogen-on-mars/</x:v>
      </x:c>
      <x:c r="D13" s="22" t="str">
        <x:v>钻孔样品硝酸盐当量最高约1100ppm。</x:v>
      </x:c>
    </x:row>
    <x:row r="14" ht="40" customHeight="1">
      <x:c r="A14" s="22" t="str">
        <x:v>S09</x:v>
      </x:c>
      <x:c r="B14" s="22" t="str">
        <x:v>NASA perchlorate overview</x:v>
      </x:c>
      <x:c r="C14" s="22" t="str">
        <x:v>https://ntrs.nasa.gov/citations/20190028297</x:v>
      </x:c>
      <x:c r="D14" s="22" t="str">
        <x:v>Phoenix土壤约0.5 wt%；氧氯盐鉴别有局限。</x:v>
      </x:c>
    </x:row>
    <x:row r="15" ht="40" customHeight="1">
      <x:c r="A15" s="22" t="str">
        <x:v>S10</x:v>
      </x:c>
      <x:c r="B15" s="22" t="str">
        <x:v>NASA phosphorus mobility</x:v>
      </x:c>
      <x:c r="C15" s="22" t="str">
        <x:v>https://ntrs.nasa.gov/citations/20220018673</x:v>
      </x:c>
      <x:c r="D15" s="22" t="str">
        <x:v>Gale局部P2O5 1.5—7.5 wt%；中值基岩0.9—1.2%。</x:v>
      </x:c>
    </x:row>
    <x:row r="16" ht="40" customHeight="1">
      <x:c r="A16" s="22" t="str">
        <x:v>S11</x:v>
      </x:c>
      <x:c r="B16" s="22" t="str">
        <x:v>NASA elemental sulfur (2024)</x:v>
      </x:c>
      <x:c r="C16" s="22" t="str">
        <x:v>https://www.nasa.gov/missions/mars-science-laboratory/curiosity-rover/nasas-curiosity-rover-discovers-a-surprise-in-a-martian-rock/</x:v>
      </x:c>
      <x:c r="D16" s="22" t="str">
        <x:v>确认天然单质硫；不等于工业硫矿储量。</x:v>
      </x:c>
    </x:row>
    <x:row r="17" ht="40" customHeight="1">
      <x:c r="A17" s="22" t="str">
        <x:v>S12</x:v>
      </x:c>
      <x:c r="B17" s="22" t="str">
        <x:v>NASA siderite (2025)</x:v>
      </x:c>
      <x:c r="C17" s="22" t="str">
        <x:v>https://www.nasa.gov/centers-and-facilities/ames/nasas-curiosity-rover-may-have-solved-mars-missing-carbonate-mystery/</x:v>
      </x:c>
      <x:c r="D17" s="22" t="str">
        <x:v>菱铁矿确认；不能直接替换石灰石矿床假设。</x:v>
      </x:c>
    </x:row>
    <x:row r="18" ht="40" customHeight="1">
      <x:c r="A18" s="22" t="str">
        <x:v>S13</x:v>
      </x:c>
      <x:c r="B18" s="22" t="str">
        <x:v>NASA Curiosity sulfate-bearing unit</x:v>
      </x:c>
      <x:c r="C18" s="22" t="str">
        <x:v>https://www.nasa.gov/missions/mars-science-laboratory/curiosity-rover/nasas-curiosity-mars-rover-reaches-long-awaited-salty-region/</x:v>
      </x:c>
      <x:c r="D18" s="22" t="str">
        <x:v>镁硫酸盐、钙硫酸盐和NaCl。</x:v>
      </x:c>
    </x:row>
    <x:row r="19" ht="40" customHeight="1">
      <x:c r="A19" s="22" t="str">
        <x:v>S14</x:v>
      </x:c>
      <x:c r="B19" s="22" t="str">
        <x:v>NASA boron in Catabola</x:v>
      </x:c>
      <x:c r="C19" s="22" t="str">
        <x:v>https://science.nasa.gov/resource/boron-in-calcium-sulfate-vein-at-catabola-mars</x:v>
      </x:c>
      <x:c r="D19" s="22" t="str">
        <x:v>2016局部B低于0.1 wt%；不是硼矿床。</x:v>
      </x:c>
    </x:row>
    <x:row r="20" ht="40" customHeight="1">
      <x:c r="A20" s="22" t="str">
        <x:v>S15</x:v>
      </x:c>
      <x:c r="B20" s="22" t="str">
        <x:v>NASA K and Th measurements</x:v>
      </x:c>
      <x:c r="C20" s="22" t="str">
        <x:v>https://ntrs.nasa.gov/citations/20030066640</x:v>
      </x:c>
      <x:c r="D20" s="22" t="str">
        <x:v>早期Th平均约1.1 ppm估计；不代表钍矿或可用核燃料。</x:v>
      </x:c>
    </x:row>
    <x:row r="21" ht="40" customHeight="1">
      <x:c r="A21" s="22" t="str">
        <x:v>S16</x:v>
      </x:c>
      <x:c r="B21" s="22" t="str">
        <x:v>NASA organics (2026)</x:v>
      </x:c>
      <x:c r="C21" s="22" t="str">
        <x:v>https://www.nasa.gov/missions/mars-science-laboratory/curiosity-rover/nasas-curiosity-finds-organic-molecules-never-seen-before-on-mars/</x:v>
      </x:c>
      <x:c r="D21" s="22" t="str">
        <x:v>痕量有机化学发现，不是可采石油。</x:v>
      </x:c>
    </x:row>
    <x:row r="22" ht="40" customHeight="1">
      <x:c r="A22" s="22" t="str">
        <x:v>S17</x:v>
      </x:c>
      <x:c r="B22" s="22" t="str">
        <x:v>ESA methane limits</x:v>
      </x:c>
      <x:c r="C22" s="22" t="str">
        <x:v>https://www.esa.int/About_Us/ESAC/ExoMars_orbiter_continues_hunt_for_key_signs_of_life_on_Mars</x:v>
      </x:c>
      <x:c r="D22" s="22" t="str">
        <x:v>TGO测量上限与Curiosity近地观测不一致；不得假设天然气田。</x:v>
      </x:c>
    </x:row>
    <x:row r="23" ht="40" customHeight="1">
      <x:c r="A23" s="22" t="str">
        <x:v>S18</x:v>
      </x:c>
      <x:c r="B23" s="22" t="str">
        <x:v>NASA Mars aqueous processing</x:v>
      </x:c>
      <x:c r="C23" s="22" t="str">
        <x:v>https://ntrs.nasa.gov/citations/20120016264</x:v>
      </x:c>
      <x:c r="D23" s="22" t="str">
        <x:v>模拟物中铁、氧化铝、氧化镁、氧化钙提取和氢还原铁；未证明火星现场规模制造。</x:v>
      </x:c>
    </x:row>
    <x:row r="24" ht="40" customHeight="1">
      <x:c r="A24" s="22" t="str">
        <x:v>S19</x:v>
      </x:c>
      <x:c r="B24" s="22" t="str">
        <x:v>DOE crystalline silicon photovoltaics</x:v>
      </x:c>
      <x:c r="C24" s="22" t="str">
        <x:v>https://www.energy.gov/cmei/systems/crystalline-silicon-photovoltaics-research</x:v>
      </x:c>
      <x:c r="D24" s="22" t="str">
        <x:v>石英—硅—晶锭—硅片—电池—组件；支持路线不支持本文件假设BOM。</x:v>
      </x:c>
    </x:row>
    <x:row r="25" ht="40" customHeight="1">
      <x:c r="A25" s="22" t="str">
        <x:v>S20</x:v>
      </x:c>
      <x:c r="B25" s="22" t="str">
        <x:v>DOE photovoltaic manufacturing basics</x:v>
      </x:c>
      <x:c r="C25" s="22" t="str">
        <x:v>https://www.energy.gov/cmei/systems/solar-photovoltaic-manufacturing-basics</x:v>
      </x:c>
      <x:c r="D25" s="22" t="str">
        <x:v>纯化、掺杂、涂层、电极、封装和电气辅件均必要。</x:v>
      </x:c>
    </x:row>
    <x:row r="26" ht="40" customHeight="1">
      <x:c r="A26" s="22" t="str">
        <x:v>S21</x:v>
      </x:c>
      <x:c r="B26" s="22" t="str">
        <x:v>NASA MOXIE completed mission</x:v>
      </x:c>
      <x:c r="C26" s="22" t="str">
        <x:v>https://www.nasa.gov/solar-system/nasas-oxygen-generating-experiment-moxie-completes-mars-mission/</x:v>
      </x:c>
      <x:c r="D26" s="22" t="str">
        <x:v>CO2电解火星演示；不是全部产业链已具备。</x:v>
      </x:c>
    </x:row>
    <x:row r="27" ht="40" customHeight="1">
      <x:c r="A27" s="22" t="str">
        <x:v>S22</x:v>
      </x:c>
      <x:c r="B27" s="22" t="str">
        <x:v>NASA H2 and CO material processing</x:v>
      </x:c>
      <x:c r="C27" s="22" t="str">
        <x:v>https://ntrs.nasa.gov/citations/19910014303</x:v>
      </x:c>
      <x:c r="D27" s="22" t="str">
        <x:v>CO2/H2生成化工产品与氧化物还原路线。</x:v>
      </x:c>
    </x:row>
    <x:row r="28" ht="40" customHeight="1">
      <x:c r="A28" s="22" t="str">
        <x:v>S23</x:v>
      </x:c>
      <x:c r="B28" s="22" t="str">
        <x:v>NASA additive construction with regolith</x:v>
      </x:c>
      <x:c r="C28" s="22" t="str">
        <x:v>https://ntrs.nasa.gov/citations/20150010765</x:v>
      </x:c>
      <x:c r="D28" s="22" t="str">
        <x:v>风化层模拟物烧结等建设研究；不是承压构件认证。</x:v>
      </x:c>
    </x:row>
    <x:row r="29" ht="40" customHeight="1">
      <x:c r="A29" s="22" t="str">
        <x:v>S24</x:v>
      </x:c>
      <x:c r="B29" s="22" t="str">
        <x:v>NASA Biomass Production Chamber</x:v>
      </x:c>
      <x:c r="C29" s="22" t="str">
        <x:v>https://ntrs.nasa.gov/citations/20040089951</x:v>
      </x:c>
      <x:c r="D29" s="22" t="str">
        <x:v>地面受控环境作物及水/碳气体流测试；不支持直接外推火星系数。</x:v>
      </x:c>
    </x:row>
    <x:row r="30" ht="40" customHeight="1">
      <x:c r="A30" s="22" t="str">
        <x:v>S25</x:v>
      </x:c>
      <x:c r="B30" s="22" t="str">
        <x:v>ESA MELiSSA compartments</x:v>
      </x:c>
      <x:c r="C30" s="22" t="str">
        <x:v>https://www.esa.int/Enabling_Support/Space_Engineering_Technology/Melissa/Closed_Loop_Compartments</x:v>
      </x:c>
      <x:c r="D30" s="22" t="str">
        <x:v>农业的氧气、水、养分和废物循环。</x:v>
      </x:c>
    </x:row>
    <x:row r="31" ht="40" customHeight="1">
      <x:c r="A31" s="22" t="str">
        <x:v>S26</x:v>
      </x:c>
      <x:c r="B31" s="22" t="str">
        <x:v>ESA nitrifying compartment</x:v>
      </x:c>
      <x:c r="C31" s="22" t="str">
        <x:v>https://www.esa.int/Enabling_Support/Space_Engineering_Technology/Melissa/Compartment_III_The_nitrifying_compartment</x:v>
      </x:c>
      <x:c r="D31" s="22" t="str">
        <x:v>氨氮到硝态氮；不要把所有氮肥直接视为适用水培配方。</x:v>
      </x:c>
    </x:row>
    <x:row r="32" ht="40" customHeight="1">
      <x:c r="A32" s="22" t="str">
        <x:v>S27</x:v>
      </x:c>
      <x:c r="B32" s="22" t="str">
        <x:v>NASA Mars PV design</x:v>
      </x:c>
      <x:c r="C32" s="22" t="str">
        <x:v>https://ntrs.nasa.gov/citations/19910057365</x:v>
      </x:c>
      <x:c r="D32" s="22" t="str">
        <x:v>约590 W/m2是大气外平均日照；地表发电还受尘埃、昼夜、姿态影响。</x:v>
      </x:c>
    </x:row>
    <x:row r="33" ht="40" customHeight="1">
      <x:c r="A33" s="22" t="str">
        <x:v>S28</x:v>
      </x:c>
      <x:c r="B33" s="22" t="str">
        <x:v>Sandia nickel-iron battery tests</x:v>
      </x:c>
      <x:c r="C33" s="22" t="str">
        <x:v>https://www.sandia.gov/app/uploads/sites/163/2021/09/SAND2014-17462.pdf</x:v>
      </x:c>
      <x:c r="D33" s="22" t="str">
        <x:v>NiFe路线参考；低温、低比能、水维护问题；不支持本文件假设BOM。</x:v>
      </x:c>
    </x:row>
    <x:row r="34" ht="40" customHeight="1">
      <x:c r="A34" s="22" t="str">
        <x:v>S29</x:v>
      </x:c>
      <x:c r="B34" s="22" t="str">
        <x:v>NASA calcium carbonate evidence</x:v>
      </x:c>
      <x:c r="C34" s="22" t="str">
        <x:v>https://ntrs.nasa.gov/citations/20090011357</x:v>
      </x:c>
      <x:c r="D34" s="22" t="str">
        <x:v>碳酸盐证据；无工业石灰石储量。</x:v>
      </x:c>
    </x:row>
    <x:row r="35" ht="40" customHeight="1">
      <x:c r="A35" s="22" t="str">
        <x:v>S30</x:v>
      </x:c>
      <x:c r="B35" s="22" t="str">
        <x:v>NASA polar water-ice estimate</x:v>
      </x:c>
      <x:c r="C35" s="22" t="str">
        <x:v>https://ntrs.nasa.gov/citations/20000033862</x:v>
      </x:c>
      <x:c r="D35" s="22" t="str">
        <x:v>2000年MOLA历史估计3.2—4.7百万km3；不与其他冰库直接相加。</x:v>
      </x:c>
    </x:row>
    <x:row r="36" ht="40" customHeight="1">
      <x:c r="A36" s="22" t="str">
        <x:v>S31</x:v>
      </x:c>
      <x:c r="B36" s="22" t="str">
        <x:v>NASA Odyssey instruments</x:v>
      </x:c>
      <x:c r="C36" s="22" t="str">
        <x:v>https://science.nasa.gov/mission/odyssey/science-instruments/</x:v>
      </x:c>
      <x:c r="D36" s="22" t="str">
        <x:v>元素分布测量与矿床储量不同。</x:v>
      </x:c>
    </x:row>
    <x:row r="37" ht="40" customHeight="1">
      <x:c r="A37" s="22" t="str">
        <x:v>S32</x:v>
      </x:c>
      <x:c r="B37" s="22" t="str">
        <x:v>NASA manganese oxides</x:v>
      </x:c>
      <x:c r="C37" s="22" t="str">
        <x:v>https://www.jpl.nasa.gov/news/nasa-rover-findings-point-to-a-more-earth-like-martian-past/</x:v>
      </x:c>
      <x:c r="D37" s="22" t="str">
        <x:v>局部锰氧化物证据。</x:v>
      </x:c>
    </x:row>
    <x:row r="38" ht="40" customHeight="1">
      <x:c r="A38" s="22" t="str">
        <x:v>S33</x:v>
      </x:c>
      <x:c r="B38" s="22" t="str">
        <x:v>NASA native organics (2025)</x:v>
      </x:c>
      <x:c r="C38" s="22" t="str">
        <x:v>https://science.nasa.gov/missions/mars-science-laboratory/nasas-curiosity-rover-detects-largest-organic-molecules-found-on-mars/</x:v>
      </x:c>
      <x:c r="D38" s="22" t="str">
        <x:v>检测/热解释放的烷烃，不等于自然纯烷烃原料库。</x:v>
      </x:c>
    </x:row>
    <x:row r="39" ht="40" customHeight="1">
      <x:c r="A39" s="22" t="str">
        <x:v>H00</x:v>
      </x:c>
      <x:c r="B39" s="22" t="str">
        <x:v>本回答设计假设</x:v>
      </x:c>
      <x:c r="C39" s="22" t="str">
        <x:v>本回答设定；不是文献实测</x:v>
      </x:c>
      <x:c r="D39" s="22" t="str">
        <x:v>所有设备BOM、产能名义标签、矿石品位/回收率、作物组成、良率与未量化项均需替换校准。</x:v>
      </x:c>
    </x:row>
    <x:row r="40" ht="40" customHeight="1">
      <x:c r="A40" s="21" t="str">
        <x:v>S34</x:v>
      </x:c>
      <x:c r="B40" s="21" t="str">
        <x:v>NASA ISRU resource table</x:v>
      </x:c>
      <x:c r="C40" s="21" t="str">
        <x:v>https://www.nasa.gov/wp-content/uploads/2015/03/nac_tie_december_2018_gsanders_isru.pdf</x:v>
      </x:c>
      <x:c r="D40" s="21" t="str">
        <x:v>含水矿物与铁/镁/硅资源类别；不提供矿山可采储量。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b198c17d47714050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28" hidden="0" customWidth="1"/>
    <x:col min="4" max="4" width="19" hidden="0" customWidth="1"/>
    <x:col min="5" max="5" width="46" hidden="0" customWidth="1"/>
    <x:col min="7" max="7" width="11" hidden="0" customWidth="1"/>
    <x:col min="8" max="8" width="36" hidden="0" customWidth="1"/>
    <x:col min="9" max="9" width="21" hidden="0" customWidth="1"/>
    <x:col min="10" max="10" width="21" hidden="0" customWidth="1"/>
  </x:cols>
  <x:sheetData>
    <x:row r="1" ht="34" customHeight="1">
      <x:c r="A1" s="4" t="str">
        <x:v>需求试算</x:v>
      </x:c>
      <x:c r="B1" s="4"/>
      <x:c r="C1" s="4"/>
      <x:c r="D1" s="4"/>
      <x:c r="E1" s="4"/>
    </x:row>
    <x:row r="2" ht="20" customHeight="1">
      <x:c r="A2" s="9" t="str">
        <x:v>例：100kg砖、10m²太阳能板、1kg甲烷。这里是独立生产毛投入相加；已有副产品不能再次重复生产。汇总见G列以后。</x:v>
      </x:c>
      <x:c r="B2" s="9"/>
      <x:c r="C2" s="9"/>
      <x:c r="D2" s="9"/>
      <x:c r="E2" s="9"/>
    </x:row>
    <x:row r="3" ht="20" customHeight="1">
      <x:c r="A3" s="9"/>
      <x:c r="B3" s="9"/>
      <x:c r="C3" s="9"/>
      <x:c r="D3" s="9"/>
      <x:c r="E3" s="9"/>
    </x:row>
    <x:row r="5" ht="38" customHeight="1">
      <x:c r="A5" s="15" t="str">
        <x:v>终端ID</x:v>
      </x:c>
      <x:c r="B5" s="15" t="str">
        <x:v>终端产品</x:v>
      </x:c>
      <x:c r="C5" s="15" t="str">
        <x:v>单位</x:v>
      </x:c>
      <x:c r="D5" s="15" t="str">
        <x:v>数量（可编辑）</x:v>
      </x:c>
      <x:c r="E5" s="15" t="str">
        <x:v>模式</x:v>
      </x:c>
      <x:c r="G5" s="42" t="str">
        <x:v>原料ID</x:v>
      </x:c>
      <x:c r="H5" s="42" t="str">
        <x:v>原料</x:v>
      </x:c>
      <x:c r="I5" s="42" t="str">
        <x:v>毛原料kg当量</x:v>
      </x:c>
      <x:c r="J5" s="42" t="str">
        <x:v>矿料情景kg</x:v>
      </x:c>
    </x:row>
    <x:row r="6" ht="40" customHeight="1">
      <x:c r="A6" s="22" t="str">
        <x:v>I01</x:v>
      </x:c>
      <x:c r="B6" s="22" t="str">
        <x:v>烧结砖/铺面块</x:v>
      </x:c>
      <x:c r="C6" s="22" t="str">
        <x:v>kg</x:v>
      </x:c>
      <x:c r="D6" s="40" t="n">
        <x:v>100</x:v>
      </x:c>
      <x:c r="E6" s="22" t="str">
        <x:v>独立毛量试算；不是联产最优调度</x:v>
      </x:c>
      <x:c r="G6" t="str">
        <x:v>R01</x:v>
      </x:c>
      <x:c r="H6" t="str">
        <x:v>水冰中H₂O</x:v>
      </x:c>
      <x:c r="I6" s="44" t="n">
        <x:f>'主原料_毛投入'!D6*$D$6+'主原料_毛投入'!E6*$D$7+'主原料_毛投入'!F6*$D$8+'主原料_毛投入'!G6*$D$9+'主原料_毛投入'!H6*$D$10+'主原料_毛投入'!I6*$D$11+'主原料_毛投入'!J6*$D$12+'主原料_毛投入'!K6*$D$13+'主原料_毛投入'!L6*$D$14+'主原料_毛投入'!M6*$D$15+'主原料_毛投入'!N6*$D$16+'主原料_毛投入'!O6*$D$17+'主原料_毛投入'!P6*$D$18+'主原料_毛投入'!Q6*$D$19+'主原料_毛投入'!R6*$D$20+'主原料_毛投入'!S6*$D$21+'主原料_毛投入'!T6*$D$22+'主原料_毛投入'!U6*$D$23+'主原料_毛投入'!V6*$D$24+'主原料_毛投入'!W6*$D$25+'主原料_毛投入'!X6*$D$26+'主原料_毛投入'!Y6*$D$27+'主原料_毛投入'!Z6*$D$28+'主原料_毛投入'!AA6*$D$29+'主原料_毛投入'!AB6*$D$30+'主原料_毛投入'!AC6*$D$31+'主原料_毛投入'!AD6*$D$32+'主原料_毛投入'!AE6*$D$33+'主原料_毛投入'!AF6*$D$34+'主原料_毛投入'!AG6*$D$35+'主原料_毛投入'!AH6*$D$36+'主原料_毛投入'!AI6*$D$37+'主原料_毛投入'!AJ6*$D$38+'主原料_毛投入'!AK6*$D$39+'主原料_毛投入'!AL6*$D$40+'主原料_毛投入'!AM6*$D$41+'主原料_毛投入'!AN6*$D$42+'主原料_毛投入'!AO6*$D$43+'主原料_毛投入'!AP6*$D$44+'主原料_毛投入'!AQ6*$D$45+'主原料_毛投入'!AR6*$D$46</x:f>
        <x:v>46.26587354031741</x:v>
      </x:c>
      <x:c r="J6" s="44" t="n">
        <x:f>I6/'原料与矿料假设'!$E$6/'原料与矿料假设'!$F$6</x:f>
        <x:v>102.81305231181646</x:v>
      </x:c>
    </x:row>
    <x:row r="7" ht="40" customHeight="1">
      <x:c r="A7" s="22" t="str">
        <x:v>I02</x:v>
      </x:c>
      <x:c r="B7" s="22" t="str">
        <x:v>陶瓷管/耐火件</x:v>
      </x:c>
      <x:c r="C7" s="22" t="str">
        <x:v>kg</x:v>
      </x:c>
      <x:c r="D7" s="40" t="n">
        <x:v>0</x:v>
      </x:c>
      <x:c r="E7" s="22" t="str">
        <x:v>独立毛量试算；不是联产最优调度</x:v>
      </x:c>
      <x:c r="G7" t="str">
        <x:v>R02</x:v>
      </x:c>
      <x:c r="H7" t="str">
        <x:v>大气CO₂组分</x:v>
      </x:c>
      <x:c r="I7" s="44" t="n">
        <x:f>'主原料_毛投入'!D7*$D$6+'主原料_毛投入'!E7*$D$7+'主原料_毛投入'!F7*$D$8+'主原料_毛投入'!G7*$D$9+'主原料_毛投入'!H7*$D$10+'主原料_毛投入'!I7*$D$11+'主原料_毛投入'!J7*$D$12+'主原料_毛投入'!K7*$D$13+'主原料_毛投入'!L7*$D$14+'主原料_毛投入'!M7*$D$15+'主原料_毛投入'!N7*$D$16+'主原料_毛投入'!O7*$D$17+'主原料_毛投入'!P7*$D$18+'主原料_毛投入'!Q7*$D$19+'主原料_毛投入'!R7*$D$20+'主原料_毛投入'!S7*$D$21+'主原料_毛投入'!T7*$D$22+'主原料_毛投入'!U7*$D$23+'主原料_毛投入'!V7*$D$24+'主原料_毛投入'!W7*$D$25+'主原料_毛投入'!X7*$D$26+'主原料_毛投入'!Y7*$D$27+'主原料_毛投入'!Z7*$D$28+'主原料_毛投入'!AA7*$D$29+'主原料_毛投入'!AB7*$D$30+'主原料_毛投入'!AC7*$D$31+'主原料_毛投入'!AD7*$D$32+'主原料_毛投入'!AE7*$D$33+'主原料_毛投入'!AF7*$D$34+'主原料_毛投入'!AG7*$D$35+'主原料_毛投入'!AH7*$D$36+'主原料_毛投入'!AI7*$D$37+'主原料_毛投入'!AJ7*$D$38+'主原料_毛投入'!AK7*$D$39+'主原料_毛投入'!AL7*$D$40+'主原料_毛投入'!AM7*$D$41+'主原料_毛投入'!AN7*$D$42+'主原料_毛投入'!AO7*$D$43+'主原料_毛投入'!AP7*$D$44+'主原料_毛投入'!AQ7*$D$45+'主原料_毛投入'!AR7*$D$46</x:f>
        <x:v>49.71835421160835</x:v>
      </x:c>
      <x:c r="J7" s="44" t="n">
        <x:f>I7/'原料与矿料假设'!$E$7/'原料与矿料假设'!$F$7</x:f>
        <x:v>55.24261579067594</x:v>
      </x:c>
    </x:row>
    <x:row r="8" ht="40" customHeight="1">
      <x:c r="A8" s="22" t="str">
        <x:v>I03</x:v>
      </x:c>
      <x:c r="B8" s="22" t="str">
        <x:v>岩棉/玄武岩纤维</x:v>
      </x:c>
      <x:c r="C8" s="22" t="str">
        <x:v>kg</x:v>
      </x:c>
      <x:c r="D8" s="40" t="n">
        <x:v>0</x:v>
      </x:c>
      <x:c r="E8" s="22" t="str">
        <x:v>独立毛量试算；不是联产最优调度</x:v>
      </x:c>
      <x:c r="G8" t="str">
        <x:v>R03</x:v>
      </x:c>
      <x:c r="H8" t="str">
        <x:v>大气N₂组分</x:v>
      </x:c>
      <x:c r="I8" s="44" t="n">
        <x:f>'主原料_毛投入'!D8*$D$6+'主原料_毛投入'!E8*$D$7+'主原料_毛投入'!F8*$D$8+'主原料_毛投入'!G8*$D$9+'主原料_毛投入'!H8*$D$10+'主原料_毛投入'!I8*$D$11+'主原料_毛投入'!J8*$D$12+'主原料_毛投入'!K8*$D$13+'主原料_毛投入'!L8*$D$14+'主原料_毛投入'!M8*$D$15+'主原料_毛投入'!N8*$D$16+'主原料_毛投入'!O8*$D$17+'主原料_毛投入'!P8*$D$18+'主原料_毛投入'!Q8*$D$19+'主原料_毛投入'!R8*$D$20+'主原料_毛投入'!S8*$D$21+'主原料_毛投入'!T8*$D$22+'主原料_毛投入'!U8*$D$23+'主原料_毛投入'!V8*$D$24+'主原料_毛投入'!W8*$D$25+'主原料_毛投入'!X8*$D$26+'主原料_毛投入'!Y8*$D$27+'主原料_毛投入'!Z8*$D$28+'主原料_毛投入'!AA8*$D$29+'主原料_毛投入'!AB8*$D$30+'主原料_毛投入'!AC8*$D$31+'主原料_毛投入'!AD8*$D$32+'主原料_毛投入'!AE8*$D$33+'主原料_毛投入'!AF8*$D$34+'主原料_毛投入'!AG8*$D$35+'主原料_毛投入'!AH8*$D$36+'主原料_毛投入'!AI8*$D$37+'主原料_毛投入'!AJ8*$D$38+'主原料_毛投入'!AK8*$D$39+'主原料_毛投入'!AL8*$D$40+'主原料_毛投入'!AM8*$D$41+'主原料_毛投入'!AN8*$D$42+'主原料_毛投入'!AO8*$D$43+'主原料_毛投入'!AP8*$D$44+'主原料_毛投入'!AQ8*$D$45+'主原料_毛投入'!AR8*$D$46</x:f>
        <x:v>0</x:v>
      </x:c>
      <x:c r="J8" s="44" t="n">
        <x:f>I8/'原料与矿料假设'!$E$8/'原料与矿料假设'!$F$8</x:f>
        <x:v>0</x:v>
      </x:c>
    </x:row>
    <x:row r="9" ht="40" customHeight="1">
      <x:c r="A9" s="22" t="str">
        <x:v>I04</x:v>
      </x:c>
      <x:c r="B9" s="22" t="str">
        <x:v>透明硅玻璃板</x:v>
      </x:c>
      <x:c r="C9" s="22" t="str">
        <x:v>m²（厚5mm）</x:v>
      </x:c>
      <x:c r="D9" s="40" t="n">
        <x:v>0</x:v>
      </x:c>
      <x:c r="E9" s="22" t="str">
        <x:v>独立毛量试算；不是联产最优调度</x:v>
      </x:c>
      <x:c r="G9" t="str">
        <x:v>R04</x:v>
      </x:c>
      <x:c r="H9" t="str">
        <x:v>大气Ar组分</x:v>
      </x:c>
      <x:c r="I9" s="44" t="n">
        <x:f>'主原料_毛投入'!D9*$D$6+'主原料_毛投入'!E9*$D$7+'主原料_毛投入'!F9*$D$8+'主原料_毛投入'!G9*$D$9+'主原料_毛投入'!H9*$D$10+'主原料_毛投入'!I9*$D$11+'主原料_毛投入'!J9*$D$12+'主原料_毛投入'!K9*$D$13+'主原料_毛投入'!L9*$D$14+'主原料_毛投入'!M9*$D$15+'主原料_毛投入'!N9*$D$16+'主原料_毛投入'!O9*$D$17+'主原料_毛投入'!P9*$D$18+'主原料_毛投入'!Q9*$D$19+'主原料_毛投入'!R9*$D$20+'主原料_毛投入'!S9*$D$21+'主原料_毛投入'!T9*$D$22+'主原料_毛投入'!U9*$D$23+'主原料_毛投入'!V9*$D$24+'主原料_毛投入'!W9*$D$25+'主原料_毛投入'!X9*$D$26+'主原料_毛投入'!Y9*$D$27+'主原料_毛投入'!Z9*$D$28+'主原料_毛投入'!AA9*$D$29+'主原料_毛投入'!AB9*$D$30+'主原料_毛投入'!AC9*$D$31+'主原料_毛投入'!AD9*$D$32+'主原料_毛投入'!AE9*$D$33+'主原料_毛投入'!AF9*$D$34+'主原料_毛投入'!AG9*$D$35+'主原料_毛投入'!AH9*$D$36+'主原料_毛投入'!AI9*$D$37+'主原料_毛投入'!AJ9*$D$38+'主原料_毛投入'!AK9*$D$39+'主原料_毛投入'!AL9*$D$40+'主原料_毛投入'!AM9*$D$41+'主原料_毛投入'!AN9*$D$42+'主原料_毛投入'!AO9*$D$43+'主原料_毛投入'!AP9*$D$44+'主原料_毛投入'!AQ9*$D$45+'主原料_毛投入'!AR9*$D$46</x:f>
        <x:v>0</x:v>
      </x:c>
      <x:c r="J9" s="44" t="n">
        <x:f>I9/'原料与矿料假设'!$E$9/'原料与矿料假设'!$F$9</x:f>
        <x:v>0</x:v>
      </x:c>
    </x:row>
    <x:row r="10" ht="40" customHeight="1">
      <x:c r="A10" s="22" t="str">
        <x:v>I05</x:v>
      </x:c>
      <x:c r="B10" s="22" t="str">
        <x:v>低碳钢零件</x:v>
      </x:c>
      <x:c r="C10" s="22" t="str">
        <x:v>kg</x:v>
      </x:c>
      <x:c r="D10" s="40" t="n">
        <x:v>0</x:v>
      </x:c>
      <x:c r="E10" s="22" t="str">
        <x:v>独立毛量试算；不是联产最优调度</x:v>
      </x:c>
      <x:c r="G10" t="str">
        <x:v>R05</x:v>
      </x:c>
      <x:c r="H10" t="str">
        <x:v>可用玄武质风化层</x:v>
      </x:c>
      <x:c r="I10" s="44" t="n">
        <x:f>'主原料_毛投入'!D10*$D$6+'主原料_毛投入'!E10*$D$7+'主原料_毛投入'!F10*$D$8+'主原料_毛投入'!G10*$D$9+'主原料_毛投入'!H10*$D$10+'主原料_毛投入'!I10*$D$11+'主原料_毛投入'!J10*$D$12+'主原料_毛投入'!K10*$D$13+'主原料_毛投入'!L10*$D$14+'主原料_毛投入'!M10*$D$15+'主原料_毛投入'!N10*$D$16+'主原料_毛投入'!O10*$D$17+'主原料_毛投入'!P10*$D$18+'主原料_毛投入'!Q10*$D$19+'主原料_毛投入'!R10*$D$20+'主原料_毛投入'!S10*$D$21+'主原料_毛投入'!T10*$D$22+'主原料_毛投入'!U10*$D$23+'主原料_毛投入'!V10*$D$24+'主原料_毛投入'!W10*$D$25+'主原料_毛投入'!X10*$D$26+'主原料_毛投入'!Y10*$D$27+'主原料_毛投入'!Z10*$D$28+'主原料_毛投入'!AA10*$D$29+'主原料_毛投入'!AB10*$D$30+'主原料_毛投入'!AC10*$D$31+'主原料_毛投入'!AD10*$D$32+'主原料_毛投入'!AE10*$D$33+'主原料_毛投入'!AF10*$D$34+'主原料_毛投入'!AG10*$D$35+'主原料_毛投入'!AH10*$D$36+'主原料_毛投入'!AI10*$D$37+'主原料_毛投入'!AJ10*$D$38+'主原料_毛投入'!AK10*$D$39+'主原料_毛投入'!AL10*$D$40+'主原料_毛投入'!AM10*$D$41+'主原料_毛投入'!AN10*$D$42+'主原料_毛投入'!AO10*$D$43+'主原料_毛投入'!AP10*$D$44+'主原料_毛投入'!AQ10*$D$45+'主原料_毛投入'!AR10*$D$46</x:f>
        <x:v>105.26315789473684</x:v>
      </x:c>
      <x:c r="J10" s="44" t="n">
        <x:f>I10/'原料与矿料假设'!$E$10/'原料与矿料假设'!$F$10</x:f>
        <x:v>116.95906432748536</x:v>
      </x:c>
    </x:row>
    <x:row r="11" ht="40" customHeight="1">
      <x:c r="A11" s="22" t="str">
        <x:v>I06</x:v>
      </x:c>
      <x:c r="B11" s="22" t="str">
        <x:v>裸铜导线</x:v>
      </x:c>
      <x:c r="C11" s="22" t="str">
        <x:v>kg</x:v>
      </x:c>
      <x:c r="D11" s="40" t="n">
        <x:v>0</x:v>
      </x:c>
      <x:c r="E11" s="22" t="str">
        <x:v>独立毛量试算；不是联产最优调度</x:v>
      </x:c>
      <x:c r="G11" t="str">
        <x:v>R06</x:v>
      </x:c>
      <x:c r="H11" t="str">
        <x:v>富硅原料SiO₂当量</x:v>
      </x:c>
      <x:c r="I11" s="44" t="n">
        <x:f>'主原料_毛投入'!D11*$D$6+'主原料_毛投入'!E11*$D$7+'主原料_毛投入'!F11*$D$8+'主原料_毛投入'!G11*$D$9+'主原料_毛投入'!H11*$D$10+'主原料_毛投入'!I11*$D$11+'主原料_毛投入'!J11*$D$12+'主原料_毛投入'!K11*$D$13+'主原料_毛投入'!L11*$D$14+'主原料_毛投入'!M11*$D$15+'主原料_毛投入'!N11*$D$16+'主原料_毛投入'!O11*$D$17+'主原料_毛投入'!P11*$D$18+'主原料_毛投入'!Q11*$D$19+'主原料_毛投入'!R11*$D$20+'主原料_毛投入'!S11*$D$21+'主原料_毛投入'!T11*$D$22+'主原料_毛投入'!U11*$D$23+'主原料_毛投入'!V11*$D$24+'主原料_毛投入'!W11*$D$25+'主原料_毛投入'!X11*$D$26+'主原料_毛投入'!Y11*$D$27+'主原料_毛投入'!Z11*$D$28+'主原料_毛投入'!AA11*$D$29+'主原料_毛投入'!AB11*$D$30+'主原料_毛投入'!AC11*$D$31+'主原料_毛投入'!AD11*$D$32+'主原料_毛投入'!AE11*$D$33+'主原料_毛投入'!AF11*$D$34+'主原料_毛投入'!AG11*$D$35+'主原料_毛投入'!AH11*$D$36+'主原料_毛投入'!AI11*$D$37+'主原料_毛投入'!AJ11*$D$38+'主原料_毛投入'!AK11*$D$39+'主原料_毛投入'!AL11*$D$40+'主原料_毛投入'!AM11*$D$41+'主原料_毛投入'!AN11*$D$42+'主原料_毛投入'!AO11*$D$43+'主原料_毛投入'!AP11*$D$44+'主原料_毛投入'!AQ11*$D$45+'主原料_毛投入'!AR11*$D$46</x:f>
        <x:v>111.29665274848362</x:v>
      </x:c>
      <x:c r="J11" s="44" t="n">
        <x:f>I11/'原料与矿料假设'!$E$11/'原料与矿料假设'!$F$11</x:f>
        <x:v>137.40327499812793</x:v>
      </x:c>
    </x:row>
    <x:row r="12" ht="40" customHeight="1">
      <x:c r="A12" s="22" t="str">
        <x:v>I07</x:v>
      </x:c>
      <x:c r="B12" s="22" t="str">
        <x:v>PE管材/薄膜</x:v>
      </x:c>
      <x:c r="C12" s="22" t="str">
        <x:v>kg</x:v>
      </x:c>
      <x:c r="D12" s="40" t="n">
        <x:v>0</x:v>
      </x:c>
      <x:c r="E12" s="22" t="str">
        <x:v>独立毛量试算；不是联产最优调度</x:v>
      </x:c>
      <x:c r="G12" t="str">
        <x:v>R07</x:v>
      </x:c>
      <x:c r="H12" t="str">
        <x:v>铁矿Fe₂O₃当量</x:v>
      </x:c>
      <x:c r="I12" s="44" t="n">
        <x:f>'主原料_毛投入'!D12*$D$6+'主原料_毛投入'!E12*$D$7+'主原料_毛投入'!F12*$D$8+'主原料_毛投入'!G12*$D$9+'主原料_毛投入'!H12*$D$10+'主原料_毛投入'!I12*$D$11+'主原料_毛投入'!J12*$D$12+'主原料_毛投入'!K12*$D$13+'主原料_毛投入'!L12*$D$14+'主原料_毛投入'!M12*$D$15+'主原料_毛投入'!N12*$D$16+'主原料_毛投入'!O12*$D$17+'主原料_毛投入'!P12*$D$18+'主原料_毛投入'!Q12*$D$19+'主原料_毛投入'!R12*$D$20+'主原料_毛投入'!S12*$D$21+'主原料_毛投入'!T12*$D$22+'主原料_毛投入'!U12*$D$23+'主原料_毛投入'!V12*$D$24+'主原料_毛投入'!W12*$D$25+'主原料_毛投入'!X12*$D$26+'主原料_毛投入'!Y12*$D$27+'主原料_毛投入'!Z12*$D$28+'主原料_毛投入'!AA12*$D$29+'主原料_毛投入'!AB12*$D$30+'主原料_毛投入'!AC12*$D$31+'主原料_毛投入'!AD12*$D$32+'主原料_毛投入'!AE12*$D$33+'主原料_毛投入'!AF12*$D$34+'主原料_毛投入'!AG12*$D$35+'主原料_毛投入'!AH12*$D$36+'主原料_毛投入'!AI12*$D$37+'主原料_毛投入'!AJ12*$D$38+'主原料_毛投入'!AK12*$D$39+'主原料_毛投入'!AL12*$D$40+'主原料_毛投入'!AM12*$D$41+'主原料_毛投入'!AN12*$D$42+'主原料_毛投入'!AO12*$D$43+'主原料_毛投入'!AP12*$D$44+'主原料_毛投入'!AQ12*$D$45+'主原料_毛投入'!AR12*$D$46</x:f>
        <x:v>0</x:v>
      </x:c>
      <x:c r="J12" s="44" t="n">
        <x:f>I12/'原料与矿料假设'!$E$12/'原料与矿料假设'!$F$12</x:f>
        <x:v>0</x:v>
      </x:c>
    </x:row>
    <x:row r="13" ht="40" customHeight="1">
      <x:c r="A13" s="22" t="str">
        <x:v>I08</x:v>
      </x:c>
      <x:c r="B13" s="22" t="str">
        <x:v>硅橡胶密封件</x:v>
      </x:c>
      <x:c r="C13" s="22" t="str">
        <x:v>kg</x:v>
      </x:c>
      <x:c r="D13" s="40" t="n">
        <x:v>0</x:v>
      </x:c>
      <x:c r="E13" s="22" t="str">
        <x:v>独立毛量试算；不是联产最优调度</x:v>
      </x:c>
      <x:c r="G13" t="str">
        <x:v>R08</x:v>
      </x:c>
      <x:c r="H13" t="str">
        <x:v>碳酸钙原料CaCO₃当量</x:v>
      </x:c>
      <x:c r="I13" s="44" t="n">
        <x:f>'主原料_毛投入'!D13*$D$6+'主原料_毛投入'!E13*$D$7+'主原料_毛投入'!F13*$D$8+'主原料_毛投入'!G13*$D$9+'主原料_毛投入'!H13*$D$10+'主原料_毛投入'!I13*$D$11+'主原料_毛投入'!J13*$D$12+'主原料_毛投入'!K13*$D$13+'主原料_毛投入'!L13*$D$14+'主原料_毛投入'!M13*$D$15+'主原料_毛投入'!N13*$D$16+'主原料_毛投入'!O13*$D$17+'主原料_毛投入'!P13*$D$18+'主原料_毛投入'!Q13*$D$19+'主原料_毛投入'!R13*$D$20+'主原料_毛投入'!S13*$D$21+'主原料_毛投入'!T13*$D$22+'主原料_毛投入'!U13*$D$23+'主原料_毛投入'!V13*$D$24+'主原料_毛投入'!W13*$D$25+'主原料_毛投入'!X13*$D$26+'主原料_毛投入'!Y13*$D$27+'主原料_毛投入'!Z13*$D$28+'主原料_毛投入'!AA13*$D$29+'主原料_毛投入'!AB13*$D$30+'主原料_毛投入'!AC13*$D$31+'主原料_毛投入'!AD13*$D$32+'主原料_毛投入'!AE13*$D$33+'主原料_毛投入'!AF13*$D$34+'主原料_毛投入'!AG13*$D$35+'主原料_毛投入'!AH13*$D$36+'主原料_毛投入'!AI13*$D$37+'主原料_毛投入'!AJ13*$D$38+'主原料_毛投入'!AK13*$D$39+'主原料_毛投入'!AL13*$D$40+'主原料_毛投入'!AM13*$D$41+'主原料_毛投入'!AN13*$D$42+'主原料_毛投入'!AO13*$D$43+'主原料_毛投入'!AP13*$D$44+'主原料_毛投入'!AQ13*$D$45+'主原料_毛投入'!AR13*$D$46</x:f>
        <x:v>0</x:v>
      </x:c>
      <x:c r="J13" s="44" t="n">
        <x:f>I13/'原料与矿料假设'!$E$13/'原料与矿料假设'!$F$13</x:f>
        <x:v>0</x:v>
      </x:c>
    </x:row>
    <x:row r="14" ht="40" customHeight="1">
      <x:c r="A14" s="22" t="str">
        <x:v>I09</x:v>
      </x:c>
      <x:c r="B14" s="22" t="str">
        <x:v>润滑基料</x:v>
      </x:c>
      <x:c r="C14" s="22" t="str">
        <x:v>kg</x:v>
      </x:c>
      <x:c r="D14" s="40" t="n">
        <x:v>0</x:v>
      </x:c>
      <x:c r="E14" s="22" t="str">
        <x:v>独立毛量试算；不是联产最优调度</x:v>
      </x:c>
      <x:c r="G14" t="str">
        <x:v>R09</x:v>
      </x:c>
      <x:c r="H14" t="str">
        <x:v>天然硫S</x:v>
      </x:c>
      <x:c r="I14" s="44" t="n">
        <x:f>'主原料_毛投入'!D14*$D$6+'主原料_毛投入'!E14*$D$7+'主原料_毛投入'!F14*$D$8+'主原料_毛投入'!G14*$D$9+'主原料_毛投入'!H14*$D$10+'主原料_毛投入'!I14*$D$11+'主原料_毛投入'!J14*$D$12+'主原料_毛投入'!K14*$D$13+'主原料_毛投入'!L14*$D$14+'主原料_毛投入'!M14*$D$15+'主原料_毛投入'!N14*$D$16+'主原料_毛投入'!O14*$D$17+'主原料_毛投入'!P14*$D$18+'主原料_毛投入'!Q14*$D$19+'主原料_毛投入'!R14*$D$20+'主原料_毛投入'!S14*$D$21+'主原料_毛投入'!T14*$D$22+'主原料_毛投入'!U14*$D$23+'主原料_毛投入'!V14*$D$24+'主原料_毛投入'!W14*$D$25+'主原料_毛投入'!X14*$D$26+'主原料_毛投入'!Y14*$D$27+'主原料_毛投入'!Z14*$D$28+'主原料_毛投入'!AA14*$D$29+'主原料_毛投入'!AB14*$D$30+'主原料_毛投入'!AC14*$D$31+'主原料_毛投入'!AD14*$D$32+'主原料_毛投入'!AE14*$D$33+'主原料_毛投入'!AF14*$D$34+'主原料_毛投入'!AG14*$D$35+'主原料_毛投入'!AH14*$D$36+'主原料_毛投入'!AI14*$D$37+'主原料_毛投入'!AJ14*$D$38+'主原料_毛投入'!AK14*$D$39+'主原料_毛投入'!AL14*$D$40+'主原料_毛投入'!AM14*$D$41+'主原料_毛投入'!AN14*$D$42+'主原料_毛投入'!AO14*$D$43+'主原料_毛投入'!AP14*$D$44+'主原料_毛投入'!AQ14*$D$45+'主原料_毛投入'!AR14*$D$46</x:f>
        <x:v>0</x:v>
      </x:c>
      <x:c r="J14" s="44" t="n">
        <x:f>I14/'原料与矿料假设'!$E$14/'原料与矿料假设'!$F$14</x:f>
        <x:v>0</x:v>
      </x:c>
    </x:row>
    <x:row r="15" ht="40" customHeight="1">
      <x:c r="A15" s="22" t="str">
        <x:v>I10</x:v>
      </x:c>
      <x:c r="B15" s="22" t="str">
        <x:v>钢制紧固件</x:v>
      </x:c>
      <x:c r="C15" s="22" t="str">
        <x:v>kg</x:v>
      </x:c>
      <x:c r="D15" s="40" t="n">
        <x:v>0</x:v>
      </x:c>
      <x:c r="E15" s="22" t="str">
        <x:v>独立毛量试算；不是联产最优调度</x:v>
      </x:c>
      <x:c r="G15" t="str">
        <x:v>R10</x:v>
      </x:c>
      <x:c r="H15" t="str">
        <x:v>磷灰石Ca₅(PO₄)₃F当量</x:v>
      </x:c>
      <x:c r="I15" s="44" t="n">
        <x:f>'主原料_毛投入'!D15*$D$6+'主原料_毛投入'!E15*$D$7+'主原料_毛投入'!F15*$D$8+'主原料_毛投入'!G15*$D$9+'主原料_毛投入'!H15*$D$10+'主原料_毛投入'!I15*$D$11+'主原料_毛投入'!J15*$D$12+'主原料_毛投入'!K15*$D$13+'主原料_毛投入'!L15*$D$14+'主原料_毛投入'!M15*$D$15+'主原料_毛投入'!N15*$D$16+'主原料_毛投入'!O15*$D$17+'主原料_毛投入'!P15*$D$18+'主原料_毛投入'!Q15*$D$19+'主原料_毛投入'!R15*$D$20+'主原料_毛投入'!S15*$D$21+'主原料_毛投入'!T15*$D$22+'主原料_毛投入'!U15*$D$23+'主原料_毛投入'!V15*$D$24+'主原料_毛投入'!W15*$D$25+'主原料_毛投入'!X15*$D$26+'主原料_毛投入'!Y15*$D$27+'主原料_毛投入'!Z15*$D$28+'主原料_毛投入'!AA15*$D$29+'主原料_毛投入'!AB15*$D$30+'主原料_毛投入'!AC15*$D$31+'主原料_毛投入'!AD15*$D$32+'主原料_毛投入'!AE15*$D$33+'主原料_毛投入'!AF15*$D$34+'主原料_毛投入'!AG15*$D$35+'主原料_毛投入'!AH15*$D$36+'主原料_毛投入'!AI15*$D$37+'主原料_毛投入'!AJ15*$D$38+'主原料_毛投入'!AK15*$D$39+'主原料_毛投入'!AL15*$D$40+'主原料_毛投入'!AM15*$D$41+'主原料_毛投入'!AN15*$D$42+'主原料_毛投入'!AO15*$D$43+'主原料_毛投入'!AP15*$D$44+'主原料_毛投入'!AQ15*$D$45+'主原料_毛投入'!AR15*$D$46</x:f>
        <x:v>0.0002</x:v>
      </x:c>
      <x:c r="J15" s="44" t="n">
        <x:f>I15/'原料与矿料假设'!$E$15/'原料与矿料假设'!$F$15</x:f>
        <x:v>0.014285714285714287</x:v>
      </x:c>
    </x:row>
    <x:row r="16" ht="40" customHeight="1">
      <x:c r="A16" s="22" t="str">
        <x:v>I11</x:v>
      </x:c>
      <x:c r="B16" s="22" t="str">
        <x:v>流体泵套件</x:v>
      </x:c>
      <x:c r="C16" s="22" t="str">
        <x:v>套（名义1kW）</x:v>
      </x:c>
      <x:c r="D16" s="40" t="n">
        <x:v>0</x:v>
      </x:c>
      <x:c r="E16" s="22" t="str">
        <x:v>独立毛量试算；不是联产最优调度</x:v>
      </x:c>
      <x:c r="G16" t="str">
        <x:v>R11</x:v>
      </x:c>
      <x:c r="H16" t="str">
        <x:v>可选钾盐KCl</x:v>
      </x:c>
      <x:c r="I16" s="44" t="n">
        <x:f>'主原料_毛投入'!D16*$D$6+'主原料_毛投入'!E16*$D$7+'主原料_毛投入'!F16*$D$8+'主原料_毛投入'!G16*$D$9+'主原料_毛投入'!H16*$D$10+'主原料_毛投入'!I16*$D$11+'主原料_毛投入'!J16*$D$12+'主原料_毛投入'!K16*$D$13+'主原料_毛投入'!L16*$D$14+'主原料_毛投入'!M16*$D$15+'主原料_毛投入'!N16*$D$16+'主原料_毛投入'!O16*$D$17+'主原料_毛投入'!P16*$D$18+'主原料_毛投入'!Q16*$D$19+'主原料_毛投入'!R16*$D$20+'主原料_毛投入'!S16*$D$21+'主原料_毛投入'!T16*$D$22+'主原料_毛投入'!U16*$D$23+'主原料_毛投入'!V16*$D$24+'主原料_毛投入'!W16*$D$25+'主原料_毛投入'!X16*$D$26+'主原料_毛投入'!Y16*$D$27+'主原料_毛投入'!Z16*$D$28+'主原料_毛投入'!AA16*$D$29+'主原料_毛投入'!AB16*$D$30+'主原料_毛投入'!AC16*$D$31+'主原料_毛投入'!AD16*$D$32+'主原料_毛投入'!AE16*$D$33+'主原料_毛投入'!AF16*$D$34+'主原料_毛投入'!AG16*$D$35+'主原料_毛投入'!AH16*$D$36+'主原料_毛投入'!AI16*$D$37+'主原料_毛投入'!AJ16*$D$38+'主原料_毛投入'!AK16*$D$39+'主原料_毛投入'!AL16*$D$40+'主原料_毛投入'!AM16*$D$41+'主原料_毛投入'!AN16*$D$42+'主原料_毛投入'!AO16*$D$43+'主原料_毛投入'!AP16*$D$44+'主原料_毛投入'!AQ16*$D$45+'主原料_毛投入'!AR16*$D$46</x:f>
        <x:v>0</x:v>
      </x:c>
      <x:c r="J16" s="44" t="n">
        <x:f>I16/'原料与矿料假设'!$E$16/'原料与矿料假设'!$F$16</x:f>
        <x:v>0</x:v>
      </x:c>
    </x:row>
    <x:row r="17" ht="40" customHeight="1">
      <x:c r="A17" s="22" t="str">
        <x:v>I12</x:v>
      </x:c>
      <x:c r="B17" s="22" t="str">
        <x:v>感应电机套件</x:v>
      </x:c>
      <x:c r="C17" s="22" t="str">
        <x:v>套（名义1kW）</x:v>
      </x:c>
      <x:c r="D17" s="40" t="n">
        <x:v>0</x:v>
      </x:c>
      <x:c r="E17" s="22" t="str">
        <x:v>独立毛量试算；不是联产最优调度</x:v>
      </x:c>
      <x:c r="G17" t="str">
        <x:v>R12</x:v>
      </x:c>
      <x:c r="H17" t="str">
        <x:v>含水硫酸镁MgSO₄·H₂O当量</x:v>
      </x:c>
      <x:c r="I17" s="44" t="n">
        <x:f>'主原料_毛投入'!D17*$D$6+'主原料_毛投入'!E17*$D$7+'主原料_毛投入'!F17*$D$8+'主原料_毛投入'!G17*$D$9+'主原料_毛投入'!H17*$D$10+'主原料_毛投入'!I17*$D$11+'主原料_毛投入'!J17*$D$12+'主原料_毛投入'!K17*$D$13+'主原料_毛投入'!L17*$D$14+'主原料_毛投入'!M17*$D$15+'主原料_毛投入'!N17*$D$16+'主原料_毛投入'!O17*$D$17+'主原料_毛投入'!P17*$D$18+'主原料_毛投入'!Q17*$D$19+'主原料_毛投入'!R17*$D$20+'主原料_毛投入'!S17*$D$21+'主原料_毛投入'!T17*$D$22+'主原料_毛投入'!U17*$D$23+'主原料_毛投入'!V17*$D$24+'主原料_毛投入'!W17*$D$25+'主原料_毛投入'!X17*$D$26+'主原料_毛投入'!Y17*$D$27+'主原料_毛投入'!Z17*$D$28+'主原料_毛投入'!AA17*$D$29+'主原料_毛投入'!AB17*$D$30+'主原料_毛投入'!AC17*$D$31+'主原料_毛投入'!AD17*$D$32+'主原料_毛投入'!AE17*$D$33+'主原料_毛投入'!AF17*$D$34+'主原料_毛投入'!AG17*$D$35+'主原料_毛投入'!AH17*$D$36+'主原料_毛投入'!AI17*$D$37+'主原料_毛投入'!AJ17*$D$38+'主原料_毛投入'!AK17*$D$39+'主原料_毛投入'!AL17*$D$40+'主原料_毛投入'!AM17*$D$41+'主原料_毛投入'!AN17*$D$42+'主原料_毛投入'!AO17*$D$43+'主原料_毛投入'!AP17*$D$44+'主原料_毛投入'!AQ17*$D$45+'主原料_毛投入'!AR17*$D$46</x:f>
        <x:v>0</x:v>
      </x:c>
      <x:c r="J17" s="44" t="n">
        <x:f>I17/'原料与矿料假设'!$E$17/'原料与矿料假设'!$F$17</x:f>
        <x:v>0</x:v>
      </x:c>
    </x:row>
    <x:row r="18" ht="40" customHeight="1">
      <x:c r="A18" s="22" t="str">
        <x:v>I13</x:v>
      </x:c>
      <x:c r="B18" s="22" t="str">
        <x:v>储液/储气容器套件</x:v>
      </x:c>
      <x:c r="C18" s="22" t="str">
        <x:v>套（容积1m³）</x:v>
      </x:c>
      <x:c r="D18" s="40" t="n">
        <x:v>0</x:v>
      </x:c>
      <x:c r="E18" s="22" t="str">
        <x:v>独立毛量试算；不是联产最优调度</x:v>
      </x:c>
      <x:c r="G18" t="str">
        <x:v>R13</x:v>
      </x:c>
      <x:c r="H18" t="str">
        <x:v>氯化钠NaCl</x:v>
      </x:c>
      <x:c r="I18" s="44" t="n">
        <x:f>'主原料_毛投入'!D18*$D$6+'主原料_毛投入'!E18*$D$7+'主原料_毛投入'!F18*$D$8+'主原料_毛投入'!G18*$D$9+'主原料_毛投入'!H18*$D$10+'主原料_毛投入'!I18*$D$11+'主原料_毛投入'!J18*$D$12+'主原料_毛投入'!K18*$D$13+'主原料_毛投入'!L18*$D$14+'主原料_毛投入'!M18*$D$15+'主原料_毛投入'!N18*$D$16+'主原料_毛投入'!O18*$D$17+'主原料_毛投入'!P18*$D$18+'主原料_毛投入'!Q18*$D$19+'主原料_毛投入'!R18*$D$20+'主原料_毛投入'!S18*$D$21+'主原料_毛投入'!T18*$D$22+'主原料_毛投入'!U18*$D$23+'主原料_毛投入'!V18*$D$24+'主原料_毛投入'!W18*$D$25+'主原料_毛投入'!X18*$D$26+'主原料_毛投入'!Y18*$D$27+'主原料_毛投入'!Z18*$D$28+'主原料_毛投入'!AA18*$D$29+'主原料_毛投入'!AB18*$D$30+'主原料_毛投入'!AC18*$D$31+'主原料_毛投入'!AD18*$D$32+'主原料_毛投入'!AE18*$D$33+'主原料_毛投入'!AF18*$D$34+'主原料_毛投入'!AG18*$D$35+'主原料_毛投入'!AH18*$D$36+'主原料_毛投入'!AI18*$D$37+'主原料_毛投入'!AJ18*$D$38+'主原料_毛投入'!AK18*$D$39+'主原料_毛投入'!AL18*$D$40+'主原料_毛投入'!AM18*$D$41+'主原料_毛投入'!AN18*$D$42+'主原料_毛投入'!AO18*$D$43+'主原料_毛投入'!AP18*$D$44+'主原料_毛投入'!AQ18*$D$45+'主原料_毛投入'!AR18*$D$46</x:f>
        <x:v>0</x:v>
      </x:c>
      <x:c r="J18" s="44" t="n">
        <x:f>I18/'原料与矿料假设'!$E$18/'原料与矿料假设'!$F$18</x:f>
        <x:v>0</x:v>
      </x:c>
    </x:row>
    <x:row r="19" ht="40" customHeight="1">
      <x:c r="A19" s="22" t="str">
        <x:v>I14</x:v>
      </x:c>
      <x:c r="B19" s="22" t="str">
        <x:v>电热炉套件</x:v>
      </x:c>
      <x:c r="C19" s="22" t="str">
        <x:v>套（名义1kW输入）</x:v>
      </x:c>
      <x:c r="D19" s="40" t="n">
        <x:v>0</x:v>
      </x:c>
      <x:c r="E19" s="22" t="str">
        <x:v>独立毛量试算；不是联产最优调度</x:v>
      </x:c>
      <x:c r="G19" t="str">
        <x:v>R14</x:v>
      </x:c>
      <x:c r="H19" t="str">
        <x:v>铜矿CuO当量</x:v>
      </x:c>
      <x:c r="I19" s="44" t="n">
        <x:f>'主原料_毛投入'!D19*$D$6+'主原料_毛投入'!E19*$D$7+'主原料_毛投入'!F19*$D$8+'主原料_毛投入'!G19*$D$9+'主原料_毛投入'!H19*$D$10+'主原料_毛投入'!I19*$D$11+'主原料_毛投入'!J19*$D$12+'主原料_毛投入'!K19*$D$13+'主原料_毛投入'!L19*$D$14+'主原料_毛投入'!M19*$D$15+'主原料_毛投入'!N19*$D$16+'主原料_毛投入'!O19*$D$17+'主原料_毛投入'!P19*$D$18+'主原料_毛投入'!Q19*$D$19+'主原料_毛投入'!R19*$D$20+'主原料_毛投入'!S19*$D$21+'主原料_毛投入'!T19*$D$22+'主原料_毛投入'!U19*$D$23+'主原料_毛投入'!V19*$D$24+'主原料_毛投入'!W19*$D$25+'主原料_毛投入'!X19*$D$26+'主原料_毛投入'!Y19*$D$27+'主原料_毛投入'!Z19*$D$28+'主原料_毛投入'!AA19*$D$29+'主原料_毛投入'!AB19*$D$30+'主原料_毛投入'!AC19*$D$31+'主原料_毛投入'!AD19*$D$32+'主原料_毛投入'!AE19*$D$33+'主原料_毛投入'!AF19*$D$34+'主原料_毛投入'!AG19*$D$35+'主原料_毛投入'!AH19*$D$36+'主原料_毛投入'!AI19*$D$37+'主原料_毛投入'!AJ19*$D$38+'主原料_毛投入'!AK19*$D$39+'主原料_毛投入'!AL19*$D$40+'主原料_毛投入'!AM19*$D$41+'主原料_毛投入'!AN19*$D$42+'主原料_毛投入'!AO19*$D$43+'主原料_毛投入'!AP19*$D$44+'主原料_毛投入'!AQ19*$D$45+'主原料_毛投入'!AR19*$D$46</x:f>
        <x:v>1.7524785194976866</x:v>
      </x:c>
      <x:c r="J19" s="44" t="n">
        <x:f>I19/'原料与矿料假设'!$E$19/'原料与矿料假设'!$F$19</x:f>
        <x:v>219.0598149372108</x:v>
      </x:c>
    </x:row>
    <x:row r="20" ht="40" customHeight="1">
      <x:c r="A20" s="22" t="str">
        <x:v>I15</x:v>
      </x:c>
      <x:c r="B20" s="22" t="str">
        <x:v>机加工设备套件</x:v>
      </x:c>
      <x:c r="C20" s="22" t="str">
        <x:v>套（名义1kW主驱动）</x:v>
      </x:c>
      <x:c r="D20" s="40" t="n">
        <x:v>0</x:v>
      </x:c>
      <x:c r="E20" s="22" t="str">
        <x:v>独立毛量试算；不是联产最优调度</x:v>
      </x:c>
      <x:c r="G20" t="str">
        <x:v>R15</x:v>
      </x:c>
      <x:c r="H20" t="str">
        <x:v>镍矿NiO当量</x:v>
      </x:c>
      <x:c r="I20" s="44" t="n">
        <x:f>'主原料_毛投入'!D20*$D$6+'主原料_毛投入'!E20*$D$7+'主原料_毛投入'!F20*$D$8+'主原料_毛投入'!G20*$D$9+'主原料_毛投入'!H20*$D$10+'主原料_毛投入'!I20*$D$11+'主原料_毛投入'!J20*$D$12+'主原料_毛投入'!K20*$D$13+'主原料_毛投入'!L20*$D$14+'主原料_毛投入'!M20*$D$15+'主原料_毛投入'!N20*$D$16+'主原料_毛投入'!O20*$D$17+'主原料_毛投入'!P20*$D$18+'主原料_毛投入'!Q20*$D$19+'主原料_毛投入'!R20*$D$20+'主原料_毛投入'!S20*$D$21+'主原料_毛投入'!T20*$D$22+'主原料_毛投入'!U20*$D$23+'主原料_毛投入'!V20*$D$24+'主原料_毛投入'!W20*$D$25+'主原料_毛投入'!X20*$D$26+'主原料_毛投入'!Y20*$D$27+'主原料_毛投入'!Z20*$D$28+'主原料_毛投入'!AA20*$D$29+'主原料_毛投入'!AB20*$D$30+'主原料_毛投入'!AC20*$D$31+'主原料_毛投入'!AD20*$D$32+'主原料_毛投入'!AE20*$D$33+'主原料_毛投入'!AF20*$D$34+'主原料_毛投入'!AG20*$D$35+'主原料_毛投入'!AH20*$D$36+'主原料_毛投入'!AI20*$D$37+'主原料_毛投入'!AJ20*$D$38+'主原料_毛投入'!AK20*$D$39+'主原料_毛投入'!AL20*$D$40+'主原料_毛投入'!AM20*$D$41+'主原料_毛投入'!AN20*$D$42+'主原料_毛投入'!AO20*$D$43+'主原料_毛投入'!AP20*$D$44+'主原料_毛投入'!AQ20*$D$45+'主原料_毛投入'!AR20*$D$46</x:f>
        <x:v>0</x:v>
      </x:c>
      <x:c r="J20" s="44" t="n">
        <x:f>I20/'原料与矿料假设'!$E$20/'原料与矿料假设'!$F$20</x:f>
        <x:v>0</x:v>
      </x:c>
    </x:row>
    <x:row r="21" ht="40" customHeight="1">
      <x:c r="A21" s="22" t="str">
        <x:v>I16</x:v>
      </x:c>
      <x:c r="B21" s="22" t="str">
        <x:v>净水设备套件</x:v>
      </x:c>
      <x:c r="C21" s="22" t="str">
        <x:v>套（名义1m³/日）</x:v>
      </x:c>
      <x:c r="D21" s="40" t="n">
        <x:v>0</x:v>
      </x:c>
      <x:c r="E21" s="22" t="str">
        <x:v>独立毛量试算；不是联产最优调度</x:v>
      </x:c>
      <x:c r="G21" t="str">
        <x:v>R16</x:v>
      </x:c>
      <x:c r="H21" t="str">
        <x:v>富铝矿Al₂O₃当量</x:v>
      </x:c>
      <x:c r="I21" s="44" t="n">
        <x:f>'主原料_毛投入'!D21*$D$6+'主原料_毛投入'!E21*$D$7+'主原料_毛投入'!F21*$D$8+'主原料_毛投入'!G21*$D$9+'主原料_毛投入'!H21*$D$10+'主原料_毛投入'!I21*$D$11+'主原料_毛投入'!J21*$D$12+'主原料_毛投入'!K21*$D$13+'主原料_毛投入'!L21*$D$14+'主原料_毛投入'!M21*$D$15+'主原料_毛投入'!N21*$D$16+'主原料_毛投入'!O21*$D$17+'主原料_毛投入'!P21*$D$18+'主原料_毛投入'!Q21*$D$19+'主原料_毛投入'!R21*$D$20+'主原料_毛投入'!S21*$D$21+'主原料_毛投入'!T21*$D$22+'主原料_毛投入'!U21*$D$23+'主原料_毛投入'!V21*$D$24+'主原料_毛投入'!W21*$D$25+'主原料_毛投入'!X21*$D$26+'主原料_毛投入'!Y21*$D$27+'主原料_毛投入'!Z21*$D$28+'主原料_毛投入'!AA21*$D$29+'主原料_毛投入'!AB21*$D$30+'主原料_毛投入'!AC21*$D$31+'主原料_毛投入'!AD21*$D$32+'主原料_毛投入'!AE21*$D$33+'主原料_毛投入'!AF21*$D$34+'主原料_毛投入'!AG21*$D$35+'主原料_毛投入'!AH21*$D$36+'主原料_毛投入'!AI21*$D$37+'主原料_毛投入'!AJ21*$D$38+'主原料_毛投入'!AK21*$D$39+'主原料_毛投入'!AL21*$D$40+'主原料_毛投入'!AM21*$D$41+'主原料_毛投入'!AN21*$D$42+'主原料_毛投入'!AO21*$D$43+'主原料_毛投入'!AP21*$D$44+'主原料_毛投入'!AQ21*$D$45+'主原料_毛投入'!AR21*$D$46</x:f>
        <x:v>19.272148098732487</x:v>
      </x:c>
      <x:c r="J21" s="44" t="n">
        <x:f>I21/'原料与矿料假设'!$E$21/'原料与矿料假设'!$F$21</x:f>
        <x:v>128.48098732488324</x:v>
      </x:c>
    </x:row>
    <x:row r="22" ht="40" customHeight="1">
      <x:c r="A22" s="22" t="str">
        <x:v>I17</x:v>
      </x:c>
      <x:c r="B22" s="22" t="str">
        <x:v>气体处理设备套件</x:v>
      </x:c>
      <x:c r="C22" s="22" t="str">
        <x:v>套（名义1kg CO₂/小时）</x:v>
      </x:c>
      <x:c r="D22" s="40" t="n">
        <x:v>0</x:v>
      </x:c>
      <x:c r="E22" s="22" t="str">
        <x:v>独立毛量试算；不是联产最优调度</x:v>
      </x:c>
      <x:c r="G22" t="str">
        <x:v>R17</x:v>
      </x:c>
      <x:c r="H22" t="str">
        <x:v>可选银矿Ag₂S当量</x:v>
      </x:c>
      <x:c r="I22" s="44" t="n">
        <x:f>'主原料_毛投入'!D22*$D$6+'主原料_毛投入'!E22*$D$7+'主原料_毛投入'!F22*$D$8+'主原料_毛投入'!G22*$D$9+'主原料_毛投入'!H22*$D$10+'主原料_毛投入'!I22*$D$11+'主原料_毛投入'!J22*$D$12+'主原料_毛投入'!K22*$D$13+'主原料_毛投入'!L22*$D$14+'主原料_毛投入'!M22*$D$15+'主原料_毛投入'!N22*$D$16+'主原料_毛投入'!O22*$D$17+'主原料_毛投入'!P22*$D$18+'主原料_毛投入'!Q22*$D$19+'主原料_毛投入'!R22*$D$20+'主原料_毛投入'!S22*$D$21+'主原料_毛投入'!T22*$D$22+'主原料_毛投入'!U22*$D$23+'主原料_毛投入'!V22*$D$24+'主原料_毛投入'!W22*$D$25+'主原料_毛投入'!X22*$D$26+'主原料_毛投入'!Y22*$D$27+'主原料_毛投入'!Z22*$D$28+'主原料_毛投入'!AA22*$D$29+'主原料_毛投入'!AB22*$D$30+'主原料_毛投入'!AC22*$D$31+'主原料_毛投入'!AD22*$D$32+'主原料_毛投入'!AE22*$D$33+'主原料_毛投入'!AF22*$D$34+'主原料_毛投入'!AG22*$D$35+'主原料_毛投入'!AH22*$D$36+'主原料_毛投入'!AI22*$D$37+'主原料_毛投入'!AJ22*$D$38+'主原料_毛投入'!AK22*$D$39+'主原料_毛投入'!AL22*$D$40+'主原料_毛投入'!AM22*$D$41+'主原料_毛投入'!AN22*$D$42+'主原料_毛投入'!AO22*$D$43+'主原料_毛投入'!AP22*$D$44+'主原料_毛投入'!AQ22*$D$45+'主原料_毛投入'!AR22*$D$46</x:f>
        <x:v>0.09188858254796131</x:v>
      </x:c>
      <x:c r="J22" s="44" t="n">
        <x:f>I22/'原料与矿料假设'!$E$22/'原料与矿料假设'!$F$22</x:f>
        <x:v>1148.6072818495163</x:v>
      </x:c>
    </x:row>
    <x:row r="23" ht="40" customHeight="1">
      <x:c r="A23" s="22" t="str">
        <x:v>I18</x:v>
      </x:c>
      <x:c r="B23" s="22" t="str">
        <x:v>居住/厂房围护构件套件</x:v>
      </x:c>
      <x:c r="C23" s="22" t="str">
        <x:v>m²围护面</x:v>
      </x:c>
      <x:c r="D23" s="40" t="n">
        <x:v>0</x:v>
      </x:c>
      <x:c r="E23" s="22" t="str">
        <x:v>独立毛量试算；不是联产最优调度</x:v>
      </x:c>
      <x:c r="G23" t="str">
        <x:v>R18</x:v>
      </x:c>
      <x:c r="H23" t="str">
        <x:v>硼矿B₂O₃当量</x:v>
      </x:c>
      <x:c r="I23" s="44" t="n">
        <x:f>'主原料_毛投入'!D23*$D$6+'主原料_毛投入'!E23*$D$7+'主原料_毛投入'!F23*$D$8+'主原料_毛投入'!G23*$D$9+'主原料_毛投入'!H23*$D$10+'主原料_毛投入'!I23*$D$11+'主原料_毛投入'!J23*$D$12+'主原料_毛投入'!K23*$D$13+'主原料_毛投入'!L23*$D$14+'主原料_毛投入'!M23*$D$15+'主原料_毛投入'!N23*$D$16+'主原料_毛投入'!O23*$D$17+'主原料_毛投入'!P23*$D$18+'主原料_毛投入'!Q23*$D$19+'主原料_毛投入'!R23*$D$20+'主原料_毛投入'!S23*$D$21+'主原料_毛投入'!T23*$D$22+'主原料_毛投入'!U23*$D$23+'主原料_毛投入'!V23*$D$24+'主原料_毛投入'!W23*$D$25+'主原料_毛投入'!X23*$D$26+'主原料_毛投入'!Y23*$D$27+'主原料_毛投入'!Z23*$D$28+'主原料_毛投入'!AA23*$D$29+'主原料_毛投入'!AB23*$D$30+'主原料_毛投入'!AC23*$D$31+'主原料_毛投入'!AD23*$D$32+'主原料_毛投入'!AE23*$D$33+'主原料_毛投入'!AF23*$D$34+'主原料_毛投入'!AG23*$D$35+'主原料_毛投入'!AH23*$D$36+'主原料_毛投入'!AI23*$D$37+'主原料_毛投入'!AJ23*$D$38+'主原料_毛投入'!AK23*$D$39+'主原料_毛投入'!AL23*$D$40+'主原料_毛投入'!AM23*$D$41+'主原料_毛投入'!AN23*$D$42+'主原料_毛投入'!AO23*$D$43+'主原料_毛投入'!AP23*$D$44+'主原料_毛投入'!AQ23*$D$45+'主原料_毛投入'!AR23*$D$46</x:f>
        <x:v>0.0001</x:v>
      </x:c>
      <x:c r="J23" s="44" t="n">
        <x:f>I23/'原料与矿料假设'!$E$23/'原料与矿料假设'!$F$23</x:f>
        <x:v>0.2</x:v>
      </x:c>
    </x:row>
    <x:row r="24" ht="40" customHeight="1">
      <x:c r="A24" s="22" t="str">
        <x:v>I19</x:v>
      </x:c>
      <x:c r="B24" s="22" t="str">
        <x:v>机械阀门套件</x:v>
      </x:c>
      <x:c r="C24" s="22" t="str">
        <x:v>件（示例小型阀）</x:v>
      </x:c>
      <x:c r="D24" s="40" t="n">
        <x:v>0</x:v>
      </x:c>
      <x:c r="E24" s="22" t="str">
        <x:v>独立毛量试算；不是联产最优调度</x:v>
      </x:c>
      <x:c r="G24" t="str">
        <x:v>R19</x:v>
      </x:c>
      <x:c r="H24" t="str">
        <x:v>可选萤石CaF₂</x:v>
      </x:c>
      <x:c r="I24" s="44" t="n">
        <x:f>'主原料_毛投入'!D24*$D$6+'主原料_毛投入'!E24*$D$7+'主原料_毛投入'!F24*$D$8+'主原料_毛投入'!G24*$D$9+'主原料_毛投入'!H24*$D$10+'主原料_毛投入'!I24*$D$11+'主原料_毛投入'!J24*$D$12+'主原料_毛投入'!K24*$D$13+'主原料_毛投入'!L24*$D$14+'主原料_毛投入'!M24*$D$15+'主原料_毛投入'!N24*$D$16+'主原料_毛投入'!O24*$D$17+'主原料_毛投入'!P24*$D$18+'主原料_毛投入'!Q24*$D$19+'主原料_毛投入'!R24*$D$20+'主原料_毛投入'!S24*$D$21+'主原料_毛投入'!T24*$D$22+'主原料_毛投入'!U24*$D$23+'主原料_毛投入'!V24*$D$24+'主原料_毛投入'!W24*$D$25+'主原料_毛投入'!X24*$D$26+'主原料_毛投入'!Y24*$D$27+'主原料_毛投入'!Z24*$D$28+'主原料_毛投入'!AA24*$D$29+'主原料_毛投入'!AB24*$D$30+'主原料_毛投入'!AC24*$D$31+'主原料_毛投入'!AD24*$D$32+'主原料_毛投入'!AE24*$D$33+'主原料_毛投入'!AF24*$D$34+'主原料_毛投入'!AG24*$D$35+'主原料_毛投入'!AH24*$D$36+'主原料_毛投入'!AI24*$D$37+'主原料_毛投入'!AJ24*$D$38+'主原料_毛投入'!AK24*$D$39+'主原料_毛投入'!AL24*$D$40+'主原料_毛投入'!AM24*$D$41+'主原料_毛投入'!AN24*$D$42+'主原料_毛投入'!AO24*$D$43+'主原料_毛投入'!AP24*$D$44+'主原料_毛投入'!AQ24*$D$45+'主原料_毛投入'!AR24*$D$46</x:f>
        <x:v>0</x:v>
      </x:c>
      <x:c r="J24" s="44" t="n">
        <x:f>I24/'原料与矿料假设'!$E$24/'原料与矿料假设'!$F$24</x:f>
        <x:v>0</x:v>
      </x:c>
    </x:row>
    <x:row r="25" ht="40" customHeight="1">
      <x:c r="A25" s="22" t="str">
        <x:v>I20</x:v>
      </x:c>
      <x:c r="B25" s="22" t="str">
        <x:v>绝缘电缆</x:v>
      </x:c>
      <x:c r="C25" s="22" t="str">
        <x:v>kg</x:v>
      </x:c>
      <x:c r="D25" s="40" t="n">
        <x:v>0</x:v>
      </x:c>
      <x:c r="E25" s="22" t="str">
        <x:v>独立毛量试算；不是联产最优调度</x:v>
      </x:c>
      <x:c r="G25" t="str">
        <x:v>R20</x:v>
      </x:c>
      <x:c r="H25" t="str">
        <x:v>可选锡矿SnO₂</x:v>
      </x:c>
      <x:c r="I25" s="44" t="n">
        <x:f>'主原料_毛投入'!D25*$D$6+'主原料_毛投入'!E25*$D$7+'主原料_毛投入'!F25*$D$8+'主原料_毛投入'!G25*$D$9+'主原料_毛投入'!H25*$D$10+'主原料_毛投入'!I25*$D$11+'主原料_毛投入'!J25*$D$12+'主原料_毛投入'!K25*$D$13+'主原料_毛投入'!L25*$D$14+'主原料_毛投入'!M25*$D$15+'主原料_毛投入'!N25*$D$16+'主原料_毛投入'!O25*$D$17+'主原料_毛投入'!P25*$D$18+'主原料_毛投入'!Q25*$D$19+'主原料_毛投入'!R25*$D$20+'主原料_毛投入'!S25*$D$21+'主原料_毛投入'!T25*$D$22+'主原料_毛投入'!U25*$D$23+'主原料_毛投入'!V25*$D$24+'主原料_毛投入'!W25*$D$25+'主原料_毛投入'!X25*$D$26+'主原料_毛投入'!Y25*$D$27+'主原料_毛投入'!Z25*$D$28+'主原料_毛投入'!AA25*$D$29+'主原料_毛投入'!AB25*$D$30+'主原料_毛投入'!AC25*$D$31+'主原料_毛投入'!AD25*$D$32+'主原料_毛投入'!AE25*$D$33+'主原料_毛投入'!AF25*$D$34+'主原料_毛投入'!AG25*$D$35+'主原料_毛投入'!AH25*$D$36+'主原料_毛投入'!AI25*$D$37+'主原料_毛投入'!AJ25*$D$38+'主原料_毛投入'!AK25*$D$39+'主原料_毛投入'!AL25*$D$40+'主原料_毛投入'!AM25*$D$41+'主原料_毛投入'!AN25*$D$42+'主原料_毛投入'!AO25*$D$43+'主原料_毛投入'!AP25*$D$44+'主原料_毛投入'!AQ25*$D$45+'主原料_毛投入'!AR25*$D$46</x:f>
        <x:v>0.12695476370988124</x:v>
      </x:c>
      <x:c r="J25" s="44" t="n">
        <x:f>I25/'原料与矿料假设'!$E$25/'原料与矿料假设'!$F$25</x:f>
        <x:v>15.869345463735153</x:v>
      </x:c>
    </x:row>
    <x:row r="26" ht="40" customHeight="1">
      <x:c r="A26" s="22" t="str">
        <x:v>A01</x:v>
      </x:c>
      <x:c r="B26" s="22" t="str">
        <x:v>净水</x:v>
      </x:c>
      <x:c r="C26" s="22" t="str">
        <x:v>kg</x:v>
      </x:c>
      <x:c r="D26" s="40" t="n">
        <x:v>0</x:v>
      </x:c>
      <x:c r="E26" s="22" t="str">
        <x:v>独立毛量试算；不是联产最优调度</x:v>
      </x:c>
      <x:c r="G26" t="str">
        <x:v>R21</x:v>
      </x:c>
      <x:c r="H26" t="str">
        <x:v>石膏CaSO₄·2H₂O</x:v>
      </x:c>
      <x:c r="I26" s="44" t="n">
        <x:f>'主原料_毛投入'!D26*$D$6+'主原料_毛投入'!E26*$D$7+'主原料_毛投入'!F26*$D$8+'主原料_毛投入'!G26*$D$9+'主原料_毛投入'!H26*$D$10+'主原料_毛投入'!I26*$D$11+'主原料_毛投入'!J26*$D$12+'主原料_毛投入'!K26*$D$13+'主原料_毛投入'!L26*$D$14+'主原料_毛投入'!M26*$D$15+'主原料_毛投入'!N26*$D$16+'主原料_毛投入'!O26*$D$17+'主原料_毛投入'!P26*$D$18+'主原料_毛投入'!Q26*$D$19+'主原料_毛投入'!R26*$D$20+'主原料_毛投入'!S26*$D$21+'主原料_毛投入'!T26*$D$22+'主原料_毛投入'!U26*$D$23+'主原料_毛投入'!V26*$D$24+'主原料_毛投入'!W26*$D$25+'主原料_毛投入'!X26*$D$26+'主原料_毛投入'!Y26*$D$27+'主原料_毛投入'!Z26*$D$28+'主原料_毛投入'!AA26*$D$29+'主原料_毛投入'!AB26*$D$30+'主原料_毛投入'!AC26*$D$31+'主原料_毛投入'!AD26*$D$32+'主原料_毛投入'!AE26*$D$33+'主原料_毛投入'!AF26*$D$34+'主原料_毛投入'!AG26*$D$35+'主原料_毛投入'!AH26*$D$36+'主原料_毛投入'!AI26*$D$37+'主原料_毛投入'!AJ26*$D$38+'主原料_毛投入'!AK26*$D$39+'主原料_毛投入'!AL26*$D$40+'主原料_毛投入'!AM26*$D$41+'主原料_毛投入'!AN26*$D$42+'主原料_毛投入'!AO26*$D$43+'主原料_毛投入'!AP26*$D$44+'主原料_毛投入'!AQ26*$D$45+'主原料_毛投入'!AR26*$D$46</x:f>
        <x:v>0</x:v>
      </x:c>
      <x:c r="J26" s="44" t="n">
        <x:f>I26/'原料与矿料假设'!$E$26/'原料与矿料假设'!$F$26</x:f>
        <x:v>0</x:v>
      </x:c>
    </x:row>
    <x:row r="27" ht="40" customHeight="1">
      <x:c r="A27" s="22" t="str">
        <x:v>A02</x:v>
      </x:c>
      <x:c r="B27" s="22" t="str">
        <x:v>无水硝酸钙肥料当量</x:v>
      </x:c>
      <x:c r="C27" s="22" t="str">
        <x:v>kg</x:v>
      </x:c>
      <x:c r="D27" s="40" t="n">
        <x:v>0</x:v>
      </x:c>
      <x:c r="E27" s="22" t="str">
        <x:v>独立毛量试算；不是联产最优调度</x:v>
      </x:c>
    </x:row>
    <x:row r="28" ht="40" customHeight="1">
      <x:c r="A28" s="22" t="str">
        <x:v>A03</x:v>
      </x:c>
      <x:c r="B28" s="22" t="str">
        <x:v>磷酸一铵肥料当量</x:v>
      </x:c>
      <x:c r="C28" s="22" t="str">
        <x:v>kg</x:v>
      </x:c>
      <x:c r="D28" s="40" t="n">
        <x:v>0</x:v>
      </x:c>
      <x:c r="E28" s="22" t="str">
        <x:v>独立毛量试算；不是联产最优调度</x:v>
      </x:c>
    </x:row>
    <x:row r="29" ht="40" customHeight="1">
      <x:c r="A29" s="22" t="str">
        <x:v>A04</x:v>
      </x:c>
      <x:c r="B29" s="22" t="str">
        <x:v>硫酸钾肥料</x:v>
      </x:c>
      <x:c r="C29" s="22" t="str">
        <x:v>kg</x:v>
      </x:c>
      <x:c r="D29" s="40" t="n">
        <x:v>0</x:v>
      </x:c>
      <x:c r="E29" s="22" t="str">
        <x:v>独立毛量试算；不是联产最优调度</x:v>
      </x:c>
    </x:row>
    <x:row r="30" ht="40" customHeight="1">
      <x:c r="A30" s="22" t="str">
        <x:v>A05</x:v>
      </x:c>
      <x:c r="B30" s="22" t="str">
        <x:v>七水硫酸镁肥料</x:v>
      </x:c>
      <x:c r="C30" s="22" t="str">
        <x:v>kg</x:v>
      </x:c>
      <x:c r="D30" s="40" t="n">
        <x:v>0</x:v>
      </x:c>
      <x:c r="E30" s="22" t="str">
        <x:v>独立毛量试算；不是联产最优调度</x:v>
      </x:c>
    </x:row>
    <x:row r="31" ht="40" customHeight="1">
      <x:c r="A31" s="22" t="str">
        <x:v>A06</x:v>
      </x:c>
      <x:c r="B31" s="22" t="str">
        <x:v>石膏钙硫肥</x:v>
      </x:c>
      <x:c r="C31" s="22" t="str">
        <x:v>kg</x:v>
      </x:c>
      <x:c r="D31" s="40" t="n">
        <x:v>0</x:v>
      </x:c>
      <x:c r="E31" s="22" t="str">
        <x:v>独立毛量试算；不是联产最优调度</x:v>
      </x:c>
    </x:row>
    <x:row r="32" ht="40" customHeight="1">
      <x:c r="A32" s="22" t="str">
        <x:v>A07</x:v>
      </x:c>
      <x:c r="B32" s="22" t="str">
        <x:v>小麦可食干物质</x:v>
      </x:c>
      <x:c r="C32" s="22" t="str">
        <x:v>kg可食干物质</x:v>
      </x:c>
      <x:c r="D32" s="40" t="n">
        <x:v>0</x:v>
      </x:c>
      <x:c r="E32" s="22" t="str">
        <x:v>独立毛量试算；不是联产最优调度</x:v>
      </x:c>
    </x:row>
    <x:row r="33" ht="40" customHeight="1">
      <x:c r="A33" s="22" t="str">
        <x:v>A08</x:v>
      </x:c>
      <x:c r="B33" s="22" t="str">
        <x:v>大豆可食干物质</x:v>
      </x:c>
      <x:c r="C33" s="22" t="str">
        <x:v>kg可食干物质</x:v>
      </x:c>
      <x:c r="D33" s="40" t="n">
        <x:v>0</x:v>
      </x:c>
      <x:c r="E33" s="22" t="str">
        <x:v>独立毛量试算；不是联产最优调度</x:v>
      </x:c>
    </x:row>
    <x:row r="34" ht="40" customHeight="1">
      <x:c r="A34" s="22" t="str">
        <x:v>A09</x:v>
      </x:c>
      <x:c r="B34" s="22" t="str">
        <x:v>马铃薯可食干物质</x:v>
      </x:c>
      <x:c r="C34" s="22" t="str">
        <x:v>kg可食干物质</x:v>
      </x:c>
      <x:c r="D34" s="40" t="n">
        <x:v>0</x:v>
      </x:c>
      <x:c r="E34" s="22" t="str">
        <x:v>独立毛量试算；不是联产最优调度</x:v>
      </x:c>
    </x:row>
    <x:row r="35" ht="40" customHeight="1">
      <x:c r="A35" s="22" t="str">
        <x:v>A10</x:v>
      </x:c>
      <x:c r="B35" s="22" t="str">
        <x:v>叶菜可食干物质</x:v>
      </x:c>
      <x:c r="C35" s="22" t="str">
        <x:v>kg可食干物质</x:v>
      </x:c>
      <x:c r="D35" s="40" t="n">
        <x:v>0</x:v>
      </x:c>
      <x:c r="E35" s="22" t="str">
        <x:v>独立毛量试算；不是联产最优调度</x:v>
      </x:c>
    </x:row>
    <x:row r="36" ht="40" customHeight="1">
      <x:c r="A36" s="22" t="str">
        <x:v>A11</x:v>
      </x:c>
      <x:c r="B36" s="22" t="str">
        <x:v>循环水培栽培模块</x:v>
      </x:c>
      <x:c r="C36" s="22" t="str">
        <x:v>m²栽培面积</x:v>
      </x:c>
      <x:c r="D36" s="40" t="n">
        <x:v>0</x:v>
      </x:c>
      <x:c r="E36" s="22" t="str">
        <x:v>独立毛量试算；不是联产最优调度</x:v>
      </x:c>
    </x:row>
    <x:row r="37" ht="40" customHeight="1">
      <x:c r="A37" s="22" t="str">
        <x:v>E01</x:v>
      </x:c>
      <x:c r="B37" s="22" t="str">
        <x:v>晶硅太阳能板</x:v>
      </x:c>
      <x:c r="C37" s="22" t="str">
        <x:v>m²组件</x:v>
      </x:c>
      <x:c r="D37" s="40" t="n">
        <x:v>10</x:v>
      </x:c>
      <x:c r="E37" s="22" t="str">
        <x:v>独立毛量试算；不是联产最优调度</x:v>
      </x:c>
    </x:row>
    <x:row r="38" ht="40" customHeight="1">
      <x:c r="A38" s="22" t="str">
        <x:v>E02</x:v>
      </x:c>
      <x:c r="B38" s="22" t="str">
        <x:v>太阳热集热板</x:v>
      </x:c>
      <x:c r="C38" s="22" t="str">
        <x:v>m²集热面积</x:v>
      </x:c>
      <x:c r="D38" s="40" t="n">
        <x:v>0</x:v>
      </x:c>
      <x:c r="E38" s="22" t="str">
        <x:v>独立毛量试算；不是联产最优调度</x:v>
      </x:c>
    </x:row>
    <x:row r="39" ht="40" customHeight="1">
      <x:c r="A39" s="22" t="str">
        <x:v>E03</x:v>
      </x:c>
      <x:c r="B39" s="22" t="str">
        <x:v>岩石显热储热模块</x:v>
      </x:c>
      <x:c r="C39" s="22" t="str">
        <x:v>kWhₜₕ名义容量</x:v>
      </x:c>
      <x:c r="D39" s="40" t="n">
        <x:v>0</x:v>
      </x:c>
      <x:c r="E39" s="22" t="str">
        <x:v>独立毛量试算；不是联产最优调度</x:v>
      </x:c>
    </x:row>
    <x:row r="40" ht="40" customHeight="1">
      <x:c r="A40" s="22" t="str">
        <x:v>E04</x:v>
      </x:c>
      <x:c r="B40" s="22" t="str">
        <x:v>碱性水电解设备</x:v>
      </x:c>
      <x:c r="C40" s="22" t="str">
        <x:v>套（1kW额定输入）</x:v>
      </x:c>
      <x:c r="D40" s="40" t="n">
        <x:v>0</x:v>
      </x:c>
      <x:c r="E40" s="22" t="str">
        <x:v>独立毛量试算；不是联产最优调度</x:v>
      </x:c>
    </x:row>
    <x:row r="41" ht="40" customHeight="1">
      <x:c r="A41" s="22" t="str">
        <x:v>E05</x:v>
      </x:c>
      <x:c r="B41" s="22" t="str">
        <x:v>甲烷合成设备</x:v>
      </x:c>
      <x:c r="C41" s="22" t="str">
        <x:v>套（名义1kg CH₄/日）</x:v>
      </x:c>
      <x:c r="D41" s="40" t="n">
        <x:v>0</x:v>
      </x:c>
      <x:c r="E41" s="22" t="str">
        <x:v>独立毛量试算；不是联产最优调度</x:v>
      </x:c>
    </x:row>
    <x:row r="42" ht="40" customHeight="1">
      <x:c r="A42" s="22" t="str">
        <x:v>E06</x:v>
      </x:c>
      <x:c r="B42" s="22" t="str">
        <x:v>合成甲烷</x:v>
      </x:c>
      <x:c r="C42" s="22" t="str">
        <x:v>kg</x:v>
      </x:c>
      <x:c r="D42" s="40" t="n">
        <x:v>1</x:v>
      </x:c>
      <x:c r="E42" s="22" t="str">
        <x:v>独立毛量试算；不是联产最优调度</x:v>
      </x:c>
    </x:row>
    <x:row r="43" ht="40" customHeight="1">
      <x:c r="A43" s="22" t="str">
        <x:v>E07</x:v>
      </x:c>
      <x:c r="B43" s="22" t="str">
        <x:v>氢气</x:v>
      </x:c>
      <x:c r="C43" s="22" t="str">
        <x:v>kg</x:v>
      </x:c>
      <x:c r="D43" s="40" t="n">
        <x:v>0</x:v>
      </x:c>
      <x:c r="E43" s="22" t="str">
        <x:v>独立毛量试算；不是联产最优调度</x:v>
      </x:c>
    </x:row>
    <x:row r="44" ht="40" customHeight="1">
      <x:c r="A44" s="22" t="str">
        <x:v>E08</x:v>
      </x:c>
      <x:c r="B44" s="22" t="str">
        <x:v>氧气</x:v>
      </x:c>
      <x:c r="C44" s="22" t="str">
        <x:v>kg</x:v>
      </x:c>
      <x:c r="D44" s="40" t="n">
        <x:v>0</x:v>
      </x:c>
      <x:c r="E44" s="22" t="str">
        <x:v>独立毛量试算；不是联产最优调度</x:v>
      </x:c>
    </x:row>
    <x:row r="45" ht="40" customHeight="1">
      <x:c r="A45" s="22" t="str">
        <x:v>E09</x:v>
      </x:c>
      <x:c r="B45" s="22" t="str">
        <x:v>镍铁蓄电池模块</x:v>
      </x:c>
      <x:c r="C45" s="22" t="str">
        <x:v>kWhₑ名义容量</x:v>
      </x:c>
      <x:c r="D45" s="40" t="n">
        <x:v>0</x:v>
      </x:c>
      <x:c r="E45" s="22" t="str">
        <x:v>独立毛量试算；不是联产最优调度</x:v>
      </x:c>
    </x:row>
    <x:row r="46" ht="40" customHeight="1">
      <x:c r="A46" s="22" t="str">
        <x:v>E10</x:v>
      </x:c>
      <x:c r="B46" s="22" t="str">
        <x:v>甲烷—氧气发电机套件</x:v>
      </x:c>
      <x:c r="C46" s="22" t="str">
        <x:v>套（1kWₑ名义输出）</x:v>
      </x:c>
      <x:c r="D46" s="40" t="n">
        <x:v>0</x:v>
      </x:c>
      <x:c r="E46" s="22" t="str">
        <x:v>独立毛量试算；不是联产最优调度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21" hidden="0" customWidth="1"/>
    <x:col min="5" max="5" width="24" hidden="0" customWidth="1"/>
  </x:cols>
  <x:sheetData>
    <x:row r="1" ht="34" customHeight="1">
      <x:c r="A1" s="4" t="str">
        <x:v>质量检查</x:v>
      </x:c>
      <x:c r="B1" s="4"/>
      <x:c r="C1" s="4"/>
      <x:c r="D1" s="4"/>
      <x:c r="E1" s="4"/>
    </x:row>
    <x:row r="2" ht="20" customHeight="1">
      <x:c r="A2" s="9" t="str">
        <x:v>仅核对6个核心反应；95个物料节点与41棵树通过程序结构检查。没有验证全部设备BOM和作物的精确守恒。</x:v>
      </x:c>
      <x:c r="B2" s="9"/>
      <x:c r="C2" s="9"/>
      <x:c r="D2" s="9"/>
      <x:c r="E2" s="9"/>
    </x:row>
    <x:row r="3" ht="20" customHeight="1">
      <x:c r="A3" s="9"/>
      <x:c r="B3" s="9"/>
      <x:c r="C3" s="9"/>
      <x:c r="D3" s="9"/>
      <x:c r="E3" s="9"/>
    </x:row>
    <x:row r="5" ht="38" customHeight="1">
      <x:c r="A5" s="15" t="str">
        <x:v>检查</x:v>
      </x:c>
      <x:c r="B5" s="15" t="str">
        <x:v>左侧总质量/kg每mol反应</x:v>
      </x:c>
      <x:c r="C5" s="15" t="str">
        <x:v>右侧总质量/kg每mol反应</x:v>
      </x:c>
      <x:c r="D5" s="15" t="str">
        <x:v>绝对误差</x:v>
      </x:c>
      <x:c r="E5" s="15" t="str">
        <x:v>通过条件</x:v>
      </x:c>
    </x:row>
    <x:row r="6" ht="40" customHeight="1">
      <x:c r="A6" s="22" t="str">
        <x:v>水电解</x:v>
      </x:c>
      <x:c r="B6" s="46" t="n">
        <x:v>0.03603</x:v>
      </x:c>
      <x:c r="C6" s="46" t="n">
        <x:v>0.03603</x:v>
      </x:c>
      <x:c r="D6" s="46" t="n">
        <x:f>ABS(B6-C6)</x:f>
        <x:v>0</x:v>
      </x:c>
      <x:c r="E6" s="22" t="str">
        <x:v>&lt;1e-10 kg</x:v>
      </x:c>
    </x:row>
    <x:row r="7" ht="40" customHeight="1">
      <x:c r="A7" s="22" t="str">
        <x:v>Sabatier</x:v>
      </x:c>
      <x:c r="B7" s="46" t="n">
        <x:v>0.052073</x:v>
      </x:c>
      <x:c r="C7" s="46" t="n">
        <x:v>0.052073</x:v>
      </x:c>
      <x:c r="D7" s="46" t="n">
        <x:f>ABS(B7-C7)</x:f>
        <x:v>0</x:v>
      </x:c>
      <x:c r="E7" s="22" t="str">
        <x:v>&lt;1e-10 kg</x:v>
      </x:c>
    </x:row>
    <x:row r="8" ht="40" customHeight="1">
      <x:c r="A8" s="22" t="str">
        <x:v>铁氧化物氢还原</x:v>
      </x:c>
      <x:c r="B8" s="46" t="n">
        <x:v>0.16573500000000002</x:v>
      </x:c>
      <x:c r="C8" s="46" t="n">
        <x:v>0.16573500000000002</x:v>
      </x:c>
      <x:c r="D8" s="46" t="n">
        <x:f>ABS(B8-C8)</x:f>
        <x:v>0</x:v>
      </x:c>
      <x:c r="E8" s="22" t="str">
        <x:v>&lt;1e-10 kg</x:v>
      </x:c>
    </x:row>
    <x:row r="9" ht="40" customHeight="1">
      <x:c r="A9" s="22" t="str">
        <x:v>硅碳热还原</x:v>
      </x:c>
      <x:c r="B9" s="46" t="n">
        <x:v>0.08410499999999999</x:v>
      </x:c>
      <x:c r="C9" s="46" t="n">
        <x:v>0.08410499999999999</x:v>
      </x:c>
      <x:c r="D9" s="46" t="n">
        <x:f>ABS(B9-C9)</x:f>
        <x:v>0</x:v>
      </x:c>
      <x:c r="E9" s="22" t="str">
        <x:v>&lt;1e-10 kg</x:v>
      </x:c>
    </x:row>
    <x:row r="10" ht="40" customHeight="1">
      <x:c r="A10" s="22" t="str">
        <x:v>磷灰石湿法</x:v>
      </x:c>
      <x:c r="B10" s="46" t="n">
        <x:v>1.174808</x:v>
      </x:c>
      <x:c r="C10" s="46" t="n">
        <x:v>1.1748080000000003</x:v>
      </x:c>
      <x:c r="D10" s="46" t="n">
        <x:f>ABS(B10-C10)</x:f>
        <x:v>2.220446049250313e-16</x:v>
      </x:c>
      <x:c r="E10" s="22" t="str">
        <x:v>&lt;1e-10 kg</x:v>
      </x:c>
    </x:row>
    <x:row r="11" ht="40" customHeight="1">
      <x:c r="A11" s="22" t="str">
        <x:v>CO2电解</x:v>
      </x:c>
      <x:c r="B11" s="46" t="n">
        <x:v>0.088018</x:v>
      </x:c>
      <x:c r="C11" s="46" t="n">
        <x:v>0.088018</x:v>
      </x:c>
      <x:c r="D11" s="46" t="n">
        <x:f>ABS(B11-C11)</x:f>
        <x:v>0</x:v>
      </x:c>
      <x:c r="E11" s="22" t="str">
        <x:v>&lt;1e-10 kg</x:v>
      </x:c>
    </x:row>
  </x:sheetData>
  <x:mergeCells>
    <x:mergeCell ref="A1:E1"/>
    <x:mergeCell ref="A2:E3"/>
  </x:mergeCells>
  <x:pageMargins left="0.7" right="0.7" top="0.75" bottom="0.75" header="0.3" footer="0.3"/>
  <x:tableParts count="1">
    <x:tablePart xmlns:r="http://schemas.openxmlformats.org/officeDocument/2006/relationships" r:id="R587d64b421144093"/>
  </x:tableParts>
</x:worksheet>
</file>